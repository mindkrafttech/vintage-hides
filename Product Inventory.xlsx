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ther_products\"/>
    </mc:Choice>
  </mc:AlternateContent>
  <xr:revisionPtr revIDLastSave="0" documentId="8_{09E135F8-3902-47C4-9C9A-87EE4A994548}" xr6:coauthVersionLast="47" xr6:coauthVersionMax="47" xr10:uidLastSave="{00000000-0000-0000-0000-000000000000}"/>
  <bookViews>
    <workbookView xWindow="-108" yWindow="-108" windowWidth="23256" windowHeight="12456" activeTab="1" xr2:uid="{F25C76D9-93F1-4E31-A0D5-D544544F90F7}"/>
  </bookViews>
  <sheets>
    <sheet name="Product" sheetId="1" r:id="rId1"/>
    <sheet name="Pric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9" i="3" l="1"/>
  <c r="J59" i="3" s="1"/>
  <c r="G58" i="3"/>
  <c r="J58" i="3" s="1"/>
  <c r="G57" i="3"/>
  <c r="J57" i="3" s="1"/>
  <c r="G56" i="3"/>
  <c r="J56" i="3" s="1"/>
  <c r="G55" i="3"/>
  <c r="J55" i="3" s="1"/>
  <c r="G54" i="3"/>
  <c r="J54" i="3" s="1"/>
  <c r="G53" i="3"/>
  <c r="J53" i="3" s="1"/>
  <c r="G52" i="3"/>
  <c r="J52" i="3" s="1"/>
  <c r="G51" i="3"/>
  <c r="J51" i="3" s="1"/>
  <c r="G50" i="3"/>
  <c r="J50" i="3" s="1"/>
  <c r="G49" i="3"/>
  <c r="J49" i="3" s="1"/>
  <c r="G48" i="3"/>
  <c r="J48" i="3" s="1"/>
  <c r="G47" i="3"/>
  <c r="J47" i="3" s="1"/>
  <c r="G46" i="3"/>
  <c r="J46" i="3" s="1"/>
  <c r="G45" i="3"/>
  <c r="J45" i="3" s="1"/>
  <c r="G44" i="3"/>
  <c r="J44" i="3" s="1"/>
  <c r="G43" i="3"/>
  <c r="J43" i="3" s="1"/>
  <c r="G42" i="3"/>
  <c r="J42" i="3" s="1"/>
  <c r="G41" i="3"/>
  <c r="J41" i="3" s="1"/>
  <c r="G40" i="3"/>
  <c r="J40" i="3" s="1"/>
  <c r="G39" i="3"/>
  <c r="J39" i="3" s="1"/>
  <c r="G38" i="3"/>
  <c r="J38" i="3" s="1"/>
  <c r="G37" i="3"/>
  <c r="J37" i="3" s="1"/>
  <c r="G36" i="3"/>
  <c r="J36" i="3" s="1"/>
  <c r="G35" i="3"/>
  <c r="J35" i="3" s="1"/>
  <c r="G34" i="3"/>
  <c r="J34" i="3" s="1"/>
  <c r="G33" i="3"/>
  <c r="J33" i="3" s="1"/>
  <c r="G32" i="3"/>
  <c r="J32" i="3" s="1"/>
  <c r="G31" i="3"/>
  <c r="J31" i="3" s="1"/>
  <c r="G30" i="3"/>
  <c r="J30" i="3" s="1"/>
  <c r="G29" i="3"/>
  <c r="J29" i="3" s="1"/>
  <c r="G28" i="3"/>
  <c r="J28" i="3" s="1"/>
  <c r="G27" i="3"/>
  <c r="J27" i="3" s="1"/>
  <c r="G26" i="3"/>
  <c r="J26" i="3" s="1"/>
  <c r="G25" i="3"/>
  <c r="J25" i="3" s="1"/>
  <c r="G24" i="3"/>
  <c r="J24" i="3" s="1"/>
  <c r="N23" i="3"/>
  <c r="G23" i="3"/>
  <c r="J23" i="3" s="1"/>
  <c r="N22" i="3"/>
  <c r="G22" i="3"/>
  <c r="J22" i="3" s="1"/>
  <c r="N21" i="3"/>
  <c r="G21" i="3"/>
  <c r="J21" i="3" s="1"/>
  <c r="N20" i="3"/>
  <c r="G20" i="3"/>
  <c r="J20" i="3" s="1"/>
  <c r="N19" i="3"/>
  <c r="G19" i="3"/>
  <c r="J19" i="3" s="1"/>
  <c r="N18" i="3"/>
  <c r="G18" i="3"/>
  <c r="J18" i="3" s="1"/>
  <c r="N17" i="3"/>
  <c r="G17" i="3"/>
  <c r="J17" i="3" s="1"/>
  <c r="N16" i="3"/>
  <c r="G16" i="3"/>
  <c r="J16" i="3" s="1"/>
  <c r="N15" i="3"/>
  <c r="G15" i="3"/>
  <c r="J15" i="3" s="1"/>
  <c r="N14" i="3"/>
  <c r="G14" i="3"/>
  <c r="J14" i="3" s="1"/>
  <c r="N13" i="3"/>
  <c r="G13" i="3"/>
  <c r="J13" i="3" s="1"/>
  <c r="N12" i="3"/>
  <c r="G12" i="3"/>
  <c r="J12" i="3" s="1"/>
  <c r="N11" i="3"/>
  <c r="G11" i="3"/>
  <c r="J11" i="3" s="1"/>
  <c r="N10" i="3"/>
  <c r="G10" i="3"/>
  <c r="J10" i="3" s="1"/>
  <c r="N9" i="3"/>
  <c r="G9" i="3"/>
  <c r="J9" i="3" s="1"/>
  <c r="N8" i="3"/>
  <c r="G8" i="3"/>
  <c r="J8" i="3" s="1"/>
  <c r="N7" i="3"/>
  <c r="G7" i="3"/>
  <c r="J7" i="3" s="1"/>
  <c r="N6" i="3"/>
  <c r="G6" i="3"/>
  <c r="J6" i="3" s="1"/>
  <c r="N5" i="3"/>
  <c r="G5" i="3"/>
  <c r="J5" i="3" s="1"/>
  <c r="N4" i="3"/>
  <c r="G4" i="3"/>
  <c r="J4" i="3" s="1"/>
  <c r="N3" i="3"/>
  <c r="G3" i="3"/>
  <c r="J3" i="3" s="1"/>
  <c r="K59" i="3" l="1"/>
  <c r="L59" i="3" s="1"/>
  <c r="R59" i="3"/>
  <c r="K58" i="3"/>
  <c r="L58" i="3" s="1"/>
  <c r="R58" i="3"/>
  <c r="K57" i="3"/>
  <c r="L57" i="3" s="1"/>
  <c r="R57" i="3"/>
  <c r="K56" i="3"/>
  <c r="L56" i="3" s="1"/>
  <c r="R56" i="3"/>
  <c r="K55" i="3"/>
  <c r="L55" i="3" s="1"/>
  <c r="R55" i="3"/>
  <c r="K54" i="3"/>
  <c r="L54" i="3" s="1"/>
  <c r="R54" i="3"/>
  <c r="K53" i="3"/>
  <c r="L53" i="3" s="1"/>
  <c r="R53" i="3"/>
  <c r="K52" i="3"/>
  <c r="L52" i="3" s="1"/>
  <c r="R52" i="3"/>
  <c r="K51" i="3"/>
  <c r="L51" i="3" s="1"/>
  <c r="R51" i="3"/>
  <c r="K50" i="3"/>
  <c r="L50" i="3" s="1"/>
  <c r="R50" i="3"/>
  <c r="K49" i="3"/>
  <c r="L49" i="3" s="1"/>
  <c r="R49" i="3"/>
  <c r="K48" i="3"/>
  <c r="L48" i="3" s="1"/>
  <c r="R48" i="3"/>
  <c r="K47" i="3"/>
  <c r="L47" i="3" s="1"/>
  <c r="R47" i="3"/>
  <c r="K46" i="3"/>
  <c r="L46" i="3" s="1"/>
  <c r="R46" i="3"/>
  <c r="K45" i="3"/>
  <c r="L45" i="3" s="1"/>
  <c r="R45" i="3"/>
  <c r="K44" i="3"/>
  <c r="L44" i="3" s="1"/>
  <c r="R44" i="3"/>
  <c r="K43" i="3"/>
  <c r="L43" i="3" s="1"/>
  <c r="R43" i="3"/>
  <c r="K42" i="3"/>
  <c r="L42" i="3" s="1"/>
  <c r="R42" i="3"/>
  <c r="K41" i="3"/>
  <c r="L41" i="3" s="1"/>
  <c r="R41" i="3"/>
  <c r="R40" i="3"/>
  <c r="K40" i="3"/>
  <c r="L40" i="3" s="1"/>
  <c r="R39" i="3"/>
  <c r="K39" i="3"/>
  <c r="L39" i="3" s="1"/>
  <c r="R38" i="3"/>
  <c r="K38" i="3"/>
  <c r="L38" i="3" s="1"/>
  <c r="K37" i="3"/>
  <c r="L37" i="3" s="1"/>
  <c r="R37" i="3"/>
  <c r="K36" i="3"/>
  <c r="L36" i="3" s="1"/>
  <c r="R36" i="3"/>
  <c r="K35" i="3"/>
  <c r="L35" i="3" s="1"/>
  <c r="R35" i="3"/>
  <c r="K34" i="3"/>
  <c r="L34" i="3" s="1"/>
  <c r="R34" i="3"/>
  <c r="K33" i="3"/>
  <c r="L33" i="3" s="1"/>
  <c r="R33" i="3"/>
  <c r="K32" i="3"/>
  <c r="L32" i="3" s="1"/>
  <c r="R32" i="3"/>
  <c r="K31" i="3"/>
  <c r="L31" i="3" s="1"/>
  <c r="R31" i="3"/>
  <c r="K30" i="3"/>
  <c r="L30" i="3" s="1"/>
  <c r="R30" i="3"/>
  <c r="K29" i="3"/>
  <c r="L29" i="3" s="1"/>
  <c r="R29" i="3"/>
  <c r="K28" i="3"/>
  <c r="L28" i="3" s="1"/>
  <c r="R28" i="3"/>
  <c r="K27" i="3"/>
  <c r="L27" i="3" s="1"/>
  <c r="R27" i="3"/>
  <c r="K26" i="3"/>
  <c r="L26" i="3" s="1"/>
  <c r="R26" i="3"/>
  <c r="K25" i="3"/>
  <c r="L25" i="3" s="1"/>
  <c r="R25" i="3"/>
  <c r="K24" i="3"/>
  <c r="L24" i="3" s="1"/>
  <c r="R24" i="3"/>
  <c r="K23" i="3"/>
  <c r="L23" i="3" s="1"/>
  <c r="R23" i="3"/>
  <c r="K22" i="3"/>
  <c r="L22" i="3" s="1"/>
  <c r="R22" i="3"/>
  <c r="K21" i="3"/>
  <c r="L21" i="3" s="1"/>
  <c r="R21" i="3"/>
  <c r="K20" i="3"/>
  <c r="L20" i="3" s="1"/>
  <c r="R20" i="3"/>
  <c r="K19" i="3"/>
  <c r="L19" i="3" s="1"/>
  <c r="R19" i="3"/>
  <c r="K18" i="3"/>
  <c r="L18" i="3" s="1"/>
  <c r="R18" i="3"/>
  <c r="K17" i="3"/>
  <c r="L17" i="3" s="1"/>
  <c r="R17" i="3"/>
  <c r="K16" i="3"/>
  <c r="L16" i="3" s="1"/>
  <c r="R16" i="3"/>
  <c r="K15" i="3"/>
  <c r="L15" i="3" s="1"/>
  <c r="R15" i="3"/>
  <c r="K14" i="3"/>
  <c r="L14" i="3" s="1"/>
  <c r="R14" i="3"/>
  <c r="K13" i="3"/>
  <c r="L13" i="3" s="1"/>
  <c r="R13" i="3"/>
  <c r="K12" i="3"/>
  <c r="L12" i="3" s="1"/>
  <c r="R12" i="3"/>
  <c r="K11" i="3"/>
  <c r="L11" i="3" s="1"/>
  <c r="R11" i="3"/>
  <c r="K10" i="3"/>
  <c r="L10" i="3" s="1"/>
  <c r="R10" i="3"/>
  <c r="K9" i="3"/>
  <c r="L9" i="3" s="1"/>
  <c r="R9" i="3"/>
  <c r="K8" i="3"/>
  <c r="L8" i="3" s="1"/>
  <c r="R8" i="3"/>
  <c r="K7" i="3"/>
  <c r="L7" i="3" s="1"/>
  <c r="R7" i="3"/>
  <c r="K6" i="3"/>
  <c r="L6" i="3" s="1"/>
  <c r="R6" i="3"/>
  <c r="K5" i="3"/>
  <c r="L5" i="3" s="1"/>
  <c r="R5" i="3"/>
  <c r="K4" i="3"/>
  <c r="L4" i="3" s="1"/>
  <c r="R4" i="3"/>
  <c r="K3" i="3"/>
  <c r="L3" i="3" s="1"/>
  <c r="R3" i="3"/>
  <c r="S59" i="3" l="1"/>
  <c r="Q59" i="3"/>
  <c r="S58" i="3"/>
  <c r="Q58" i="3"/>
  <c r="S57" i="3"/>
  <c r="Q57" i="3"/>
  <c r="S56" i="3"/>
  <c r="Q56" i="3"/>
  <c r="S55" i="3"/>
  <c r="Q55" i="3"/>
  <c r="S54" i="3"/>
  <c r="Q54" i="3"/>
  <c r="S53" i="3"/>
  <c r="Q53" i="3"/>
  <c r="S52" i="3"/>
  <c r="Q52" i="3"/>
  <c r="S51" i="3"/>
  <c r="Q51" i="3"/>
  <c r="S50" i="3"/>
  <c r="Q50" i="3"/>
  <c r="S49" i="3"/>
  <c r="Q49" i="3"/>
  <c r="S48" i="3"/>
  <c r="Q48" i="3"/>
  <c r="S47" i="3"/>
  <c r="Q47" i="3"/>
  <c r="S46" i="3"/>
  <c r="Q46" i="3"/>
  <c r="S45" i="3"/>
  <c r="Q45" i="3"/>
  <c r="S44" i="3"/>
  <c r="Q44" i="3"/>
  <c r="S43" i="3"/>
  <c r="Q43" i="3"/>
  <c r="S42" i="3"/>
  <c r="Q42" i="3"/>
  <c r="S41" i="3"/>
  <c r="Q41" i="3"/>
  <c r="S40" i="3"/>
  <c r="Q40" i="3"/>
  <c r="S39" i="3"/>
  <c r="Q39" i="3"/>
  <c r="S38" i="3"/>
  <c r="Q38" i="3"/>
  <c r="S37" i="3"/>
  <c r="Q37" i="3"/>
  <c r="S36" i="3"/>
  <c r="Q36" i="3"/>
  <c r="S35" i="3"/>
  <c r="Q35" i="3"/>
  <c r="S34" i="3"/>
  <c r="Q34" i="3"/>
  <c r="S33" i="3"/>
  <c r="Q33" i="3"/>
  <c r="S32" i="3"/>
  <c r="Q32" i="3"/>
  <c r="S31" i="3"/>
  <c r="Q31" i="3"/>
  <c r="S30" i="3"/>
  <c r="Q30" i="3"/>
  <c r="S29" i="3"/>
  <c r="Q29" i="3"/>
  <c r="S28" i="3"/>
  <c r="Q28" i="3"/>
  <c r="S27" i="3"/>
  <c r="Q27" i="3"/>
  <c r="S26" i="3"/>
  <c r="Q26" i="3"/>
  <c r="S25" i="3"/>
  <c r="Q25" i="3"/>
  <c r="S24" i="3"/>
  <c r="Q24" i="3" s="1"/>
  <c r="S23" i="3"/>
  <c r="Q23" i="3"/>
  <c r="S22" i="3"/>
  <c r="Q22" i="3"/>
  <c r="S21" i="3"/>
  <c r="Q21" i="3"/>
  <c r="S20" i="3"/>
  <c r="Q20" i="3"/>
  <c r="S19" i="3"/>
  <c r="Q19" i="3"/>
  <c r="S18" i="3"/>
  <c r="Q18" i="3"/>
  <c r="S17" i="3"/>
  <c r="Q17" i="3" s="1"/>
  <c r="S16" i="3"/>
  <c r="Q16" i="3" s="1"/>
  <c r="S15" i="3"/>
  <c r="Q15" i="3"/>
  <c r="S14" i="3"/>
  <c r="Q14" i="3"/>
  <c r="S13" i="3"/>
  <c r="Q13" i="3"/>
  <c r="S12" i="3"/>
  <c r="Q12" i="3"/>
  <c r="S11" i="3"/>
  <c r="Q11" i="3"/>
  <c r="S10" i="3"/>
  <c r="Q10" i="3"/>
  <c r="S9" i="3"/>
  <c r="Q9" i="3"/>
  <c r="S8" i="3"/>
  <c r="Q8" i="3"/>
  <c r="S7" i="3"/>
  <c r="Q7" i="3"/>
  <c r="S6" i="3"/>
  <c r="Q6" i="3"/>
  <c r="S5" i="3"/>
  <c r="Q5" i="3"/>
  <c r="S4" i="3"/>
  <c r="Q4" i="3"/>
  <c r="S3" i="3"/>
  <c r="Q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Mushtaq Ahmed</author>
  </authors>
  <commentList>
    <comment ref="G2" authorId="0" shapeId="0" xr:uid="{4F4C29EF-FC31-49E6-A79A-C1364D46CC27}">
      <text>
        <r>
          <rPr>
            <b/>
            <sz val="9"/>
            <color indexed="81"/>
            <rFont val="Tahoma"/>
            <family val="2"/>
          </rPr>
          <t xml:space="preserve">Listing Price
</t>
        </r>
      </text>
    </comment>
  </commentList>
</comments>
</file>

<file path=xl/sharedStrings.xml><?xml version="1.0" encoding="utf-8"?>
<sst xmlns="http://schemas.openxmlformats.org/spreadsheetml/2006/main" count="438" uniqueCount="122">
  <si>
    <t xml:space="preserve">PRODUCT INVENTORY STRUCTURE </t>
  </si>
  <si>
    <t>SKU</t>
  </si>
  <si>
    <t>Series Code</t>
  </si>
  <si>
    <t>Model Code</t>
  </si>
  <si>
    <t>Edition Code</t>
  </si>
  <si>
    <t>Color Code</t>
  </si>
  <si>
    <t>Product</t>
  </si>
  <si>
    <t>Variant</t>
  </si>
  <si>
    <t>Edition</t>
  </si>
  <si>
    <t>Color</t>
  </si>
  <si>
    <t>Qty</t>
  </si>
  <si>
    <t>VH-RZ-MU-EDGR-BC</t>
  </si>
  <si>
    <t>RZ</t>
  </si>
  <si>
    <t>MU</t>
  </si>
  <si>
    <t>EDGR</t>
  </si>
  <si>
    <t>BC</t>
  </si>
  <si>
    <t xml:space="preserve">Ryza Muse </t>
  </si>
  <si>
    <t>V1</t>
  </si>
  <si>
    <t>Gray Edition</t>
  </si>
  <si>
    <t>Barbados Cherry</t>
  </si>
  <si>
    <t>VH-RZ-MU-EDGR-OB</t>
  </si>
  <si>
    <t>OB</t>
  </si>
  <si>
    <t>Ryza Muse</t>
  </si>
  <si>
    <t>Onyx Black</t>
  </si>
  <si>
    <t>VH-RZ-MU-EDGR-MM</t>
  </si>
  <si>
    <t>MM</t>
  </si>
  <si>
    <t>Mocha Mousse</t>
  </si>
  <si>
    <t>VH-RZ-MU-EDGR-FG</t>
  </si>
  <si>
    <t>FG</t>
  </si>
  <si>
    <t>Forest Green</t>
  </si>
  <si>
    <t>VH-RZ-MU-EDGR-WW</t>
  </si>
  <si>
    <t>WW</t>
  </si>
  <si>
    <t>Windsor Wine</t>
  </si>
  <si>
    <t>VH-RZ-MU-EDMO-OB</t>
  </si>
  <si>
    <t>EDMO</t>
  </si>
  <si>
    <t>Mocha Edition</t>
  </si>
  <si>
    <t>VH-RZ-MU-EDBL-MM</t>
  </si>
  <si>
    <t>EDBL</t>
  </si>
  <si>
    <t>Black Edition</t>
  </si>
  <si>
    <t>VH-RZ-HA-EDGR-BC</t>
  </si>
  <si>
    <t>HA</t>
  </si>
  <si>
    <t>Ryza Halo</t>
  </si>
  <si>
    <t>V2</t>
  </si>
  <si>
    <t>VH-RZ-HA-EDGR-OB</t>
  </si>
  <si>
    <t>VH-RZ-HA-EDGR-MM</t>
  </si>
  <si>
    <t>VH-RZ-HA-EDGR-WW</t>
  </si>
  <si>
    <t>VH-RZ-CR-EDGR-BU</t>
  </si>
  <si>
    <t>CR</t>
  </si>
  <si>
    <t>BU</t>
  </si>
  <si>
    <t>Ryza Croco</t>
  </si>
  <si>
    <t>V3</t>
  </si>
  <si>
    <t>Burgundy</t>
  </si>
  <si>
    <t>VH-RZ-DU-EDGR-BC</t>
  </si>
  <si>
    <t>DU</t>
  </si>
  <si>
    <t>Ryza Duo</t>
  </si>
  <si>
    <t>V4</t>
  </si>
  <si>
    <t>VH-RZ-DU-EDGR-OB</t>
  </si>
  <si>
    <t>VH-RZ-DU-EDGR-MM</t>
  </si>
  <si>
    <t>VH-RZ-DU-EDGR-FG</t>
  </si>
  <si>
    <t>VH-RZ-DU-EDGR-WW</t>
  </si>
  <si>
    <t>VH-RZ-CO-EDBL-OB</t>
  </si>
  <si>
    <t>CO</t>
  </si>
  <si>
    <t>Ryza Core</t>
  </si>
  <si>
    <t>V5</t>
  </si>
  <si>
    <t>VH-RZ-CO-EDMO-MM</t>
  </si>
  <si>
    <t xml:space="preserve">Final Total </t>
  </si>
  <si>
    <t>S.no</t>
  </si>
  <si>
    <t xml:space="preserve">Variant </t>
  </si>
  <si>
    <t xml:space="preserve">Mrp </t>
  </si>
  <si>
    <t>Mrp %</t>
  </si>
  <si>
    <t>Base Price</t>
  </si>
  <si>
    <t>Mode</t>
  </si>
  <si>
    <t>Discount %</t>
  </si>
  <si>
    <t>After Discount</t>
  </si>
  <si>
    <t>Selling Price</t>
  </si>
  <si>
    <t>Gst 18%</t>
  </si>
  <si>
    <t>Gift Incl</t>
  </si>
  <si>
    <t>Gift After %</t>
  </si>
  <si>
    <t xml:space="preserve">Gift Mrp </t>
  </si>
  <si>
    <t>Razor Pay</t>
  </si>
  <si>
    <t>Onyx  Black Edition</t>
  </si>
  <si>
    <t>Prepaid</t>
  </si>
  <si>
    <t>No</t>
  </si>
  <si>
    <t>Partial</t>
  </si>
  <si>
    <t>COD</t>
  </si>
  <si>
    <t>Mocha Mouse Edition</t>
  </si>
  <si>
    <t>Mocha Mouse</t>
  </si>
  <si>
    <t xml:space="preserve">Ryza Duo </t>
  </si>
  <si>
    <t>Biege Edition</t>
  </si>
  <si>
    <t>Barbodas Cherry</t>
  </si>
  <si>
    <t>Windosr wine</t>
  </si>
  <si>
    <t>Beige Edition</t>
  </si>
  <si>
    <t xml:space="preserve">Burgandy </t>
  </si>
  <si>
    <t>Yes</t>
  </si>
  <si>
    <t>5i</t>
  </si>
  <si>
    <t>5ii</t>
  </si>
  <si>
    <t xml:space="preserve">Onyx  Black Limited </t>
  </si>
  <si>
    <t>5iii</t>
  </si>
  <si>
    <t>Mocha Mouse Limited Edition</t>
  </si>
  <si>
    <t>Razor Pay 2%</t>
  </si>
  <si>
    <t>Gst on Razorpay</t>
  </si>
  <si>
    <t>MANUFACTURING / QC FIELDS</t>
  </si>
  <si>
    <t>Batch No</t>
  </si>
  <si>
    <t xml:space="preserve">MFG Date </t>
  </si>
  <si>
    <t>Leather Type</t>
  </si>
  <si>
    <t xml:space="preserve">Hardware </t>
  </si>
  <si>
    <t>Branding Method</t>
  </si>
  <si>
    <t xml:space="preserve">QC Status </t>
  </si>
  <si>
    <t>B001</t>
  </si>
  <si>
    <t xml:space="preserve">Sheep Leather </t>
  </si>
  <si>
    <t>Gold</t>
  </si>
  <si>
    <t xml:space="preserve">Laser </t>
  </si>
  <si>
    <t xml:space="preserve">Approved </t>
  </si>
  <si>
    <t>Laser</t>
  </si>
  <si>
    <t>Pending Qc</t>
  </si>
  <si>
    <t xml:space="preserve">Rejected </t>
  </si>
  <si>
    <t>Repair needed</t>
  </si>
  <si>
    <t xml:space="preserve">Printed </t>
  </si>
  <si>
    <t>Combo</t>
  </si>
  <si>
    <t xml:space="preserve">Combo </t>
  </si>
  <si>
    <t>Plain</t>
  </si>
  <si>
    <t>PRICING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</si>
</sst>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0" fillId="0" borderId="6" xfId="0" applyBorder="1"/>
    <xf numFmtId="0" fontId="0" fillId="0" borderId="1" xfId="0" applyBorder="1"/>
    <xf numFmtId="0" fontId="2" fillId="0" borderId="6" xfId="0" applyFont="1" applyBorder="1"/>
    <xf numFmtId="0" fontId="2" fillId="0" borderId="1" xfId="0" applyFont="1" applyBorder="1"/>
    <xf numFmtId="0" fontId="2" fillId="3" borderId="6" xfId="0" applyFont="1" applyFill="1" applyBorder="1"/>
    <xf numFmtId="0" fontId="0" fillId="3" borderId="6" xfId="0" applyFill="1" applyBorder="1"/>
    <xf numFmtId="0" fontId="0" fillId="3" borderId="1" xfId="0" applyFill="1" applyBorder="1"/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9" fontId="2" fillId="0" borderId="7" xfId="1" applyFont="1" applyBorder="1"/>
    <xf numFmtId="0" fontId="0" fillId="0" borderId="7" xfId="0" applyBorder="1"/>
    <xf numFmtId="9" fontId="0" fillId="0" borderId="7" xfId="1" applyFont="1" applyBorder="1"/>
    <xf numFmtId="0" fontId="2" fillId="3" borderId="13" xfId="0" applyFont="1" applyFill="1" applyBorder="1"/>
    <xf numFmtId="15" fontId="0" fillId="0" borderId="13" xfId="0" applyNumberFormat="1" applyBorder="1"/>
    <xf numFmtId="0" fontId="0" fillId="0" borderId="13" xfId="0" applyBorder="1"/>
    <xf numFmtId="0" fontId="0" fillId="5" borderId="0" xfId="0" applyFill="1"/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141A2-29C7-41C9-8331-CB4924D4AA97}">
  <dimension ref="A1:Q27"/>
  <sheetViews>
    <sheetView topLeftCell="B1" workbookViewId="0">
      <selection activeCell="N2" sqref="N2"/>
    </sheetView>
  </sheetViews>
  <sheetFormatPr defaultRowHeight="14.4" x14ac:dyDescent="0.3"/>
  <cols>
    <col min="1" max="1" width="18.5546875" bestFit="1" customWidth="1"/>
    <col min="2" max="2" width="10.44140625" bestFit="1" customWidth="1"/>
    <col min="3" max="3" width="10.88671875" bestFit="1" customWidth="1"/>
    <col min="4" max="4" width="11.44140625" bestFit="1" customWidth="1"/>
    <col min="5" max="5" width="10" bestFit="1" customWidth="1"/>
    <col min="6" max="6" width="9.77734375" bestFit="1" customWidth="1"/>
    <col min="7" max="7" width="7" bestFit="1" customWidth="1"/>
    <col min="8" max="8" width="12.6640625" bestFit="1" customWidth="1"/>
    <col min="9" max="9" width="14.21875" bestFit="1" customWidth="1"/>
    <col min="10" max="10" width="3.77734375" bestFit="1" customWidth="1"/>
    <col min="12" max="12" width="8.21875" bestFit="1" customWidth="1"/>
    <col min="14" max="14" width="12.77734375" bestFit="1" customWidth="1"/>
    <col min="16" max="16" width="15" bestFit="1" customWidth="1"/>
    <col min="17" max="17" width="12.33203125" bestFit="1" customWidth="1"/>
  </cols>
  <sheetData>
    <row r="1" spans="1:17" x14ac:dyDescent="0.3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3"/>
      <c r="L1" s="34" t="s">
        <v>101</v>
      </c>
      <c r="M1" s="35"/>
      <c r="N1" s="35"/>
      <c r="O1" s="35"/>
      <c r="P1" s="35"/>
      <c r="Q1" s="36"/>
    </row>
    <row r="2" spans="1:1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2" t="s">
        <v>9</v>
      </c>
      <c r="J2" s="3" t="s">
        <v>10</v>
      </c>
      <c r="L2" s="8" t="s">
        <v>102</v>
      </c>
      <c r="M2" s="16" t="s">
        <v>103</v>
      </c>
      <c r="N2" s="8" t="s">
        <v>104</v>
      </c>
      <c r="O2" s="8" t="s">
        <v>105</v>
      </c>
      <c r="P2" s="8" t="s">
        <v>106</v>
      </c>
      <c r="Q2" s="8" t="s">
        <v>107</v>
      </c>
    </row>
    <row r="3" spans="1:17" x14ac:dyDescent="0.3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5" t="s">
        <v>19</v>
      </c>
      <c r="J3" s="4">
        <v>5</v>
      </c>
      <c r="L3" s="4" t="s">
        <v>108</v>
      </c>
      <c r="M3" s="17">
        <v>46140</v>
      </c>
      <c r="N3" s="4" t="s">
        <v>109</v>
      </c>
      <c r="O3" s="4" t="s">
        <v>110</v>
      </c>
      <c r="P3" s="4" t="s">
        <v>111</v>
      </c>
      <c r="Q3" s="4" t="s">
        <v>112</v>
      </c>
    </row>
    <row r="4" spans="1:17" x14ac:dyDescent="0.3">
      <c r="A4" s="4" t="s">
        <v>20</v>
      </c>
      <c r="B4" s="4" t="s">
        <v>12</v>
      </c>
      <c r="C4" s="4" t="s">
        <v>13</v>
      </c>
      <c r="D4" s="4" t="s">
        <v>14</v>
      </c>
      <c r="E4" s="4" t="s">
        <v>21</v>
      </c>
      <c r="F4" s="4" t="s">
        <v>22</v>
      </c>
      <c r="G4" s="4" t="s">
        <v>17</v>
      </c>
      <c r="H4" s="4" t="s">
        <v>18</v>
      </c>
      <c r="I4" s="5" t="s">
        <v>23</v>
      </c>
      <c r="J4" s="4">
        <v>7</v>
      </c>
      <c r="L4" s="4" t="s">
        <v>108</v>
      </c>
      <c r="M4" s="17">
        <v>46140</v>
      </c>
      <c r="N4" s="4" t="s">
        <v>109</v>
      </c>
      <c r="O4" s="4" t="s">
        <v>110</v>
      </c>
      <c r="P4" s="4" t="s">
        <v>113</v>
      </c>
      <c r="Q4" s="4" t="s">
        <v>114</v>
      </c>
    </row>
    <row r="5" spans="1:17" x14ac:dyDescent="0.3">
      <c r="A5" s="4" t="s">
        <v>24</v>
      </c>
      <c r="B5" s="4" t="s">
        <v>12</v>
      </c>
      <c r="C5" s="4" t="s">
        <v>13</v>
      </c>
      <c r="D5" s="4" t="s">
        <v>14</v>
      </c>
      <c r="E5" s="4" t="s">
        <v>25</v>
      </c>
      <c r="F5" s="4" t="s">
        <v>22</v>
      </c>
      <c r="G5" s="4" t="s">
        <v>17</v>
      </c>
      <c r="H5" s="4" t="s">
        <v>18</v>
      </c>
      <c r="I5" s="5" t="s">
        <v>26</v>
      </c>
      <c r="J5" s="4">
        <v>5</v>
      </c>
      <c r="L5" s="4" t="s">
        <v>108</v>
      </c>
      <c r="M5" s="17">
        <v>46140</v>
      </c>
      <c r="N5" s="4" t="s">
        <v>109</v>
      </c>
      <c r="O5" s="4" t="s">
        <v>110</v>
      </c>
      <c r="P5" s="4" t="s">
        <v>113</v>
      </c>
      <c r="Q5" s="4" t="s">
        <v>115</v>
      </c>
    </row>
    <row r="6" spans="1:17" x14ac:dyDescent="0.3">
      <c r="A6" s="4" t="s">
        <v>27</v>
      </c>
      <c r="B6" s="4" t="s">
        <v>12</v>
      </c>
      <c r="C6" s="4" t="s">
        <v>13</v>
      </c>
      <c r="D6" s="4" t="s">
        <v>14</v>
      </c>
      <c r="E6" s="4" t="s">
        <v>28</v>
      </c>
      <c r="F6" s="4" t="s">
        <v>22</v>
      </c>
      <c r="G6" s="4" t="s">
        <v>17</v>
      </c>
      <c r="H6" s="4" t="s">
        <v>18</v>
      </c>
      <c r="I6" s="5" t="s">
        <v>29</v>
      </c>
      <c r="J6" s="4">
        <v>5</v>
      </c>
      <c r="L6" s="4" t="s">
        <v>108</v>
      </c>
      <c r="M6" s="17">
        <v>46140</v>
      </c>
      <c r="N6" s="4" t="s">
        <v>109</v>
      </c>
      <c r="O6" s="4" t="s">
        <v>110</v>
      </c>
      <c r="P6" s="4" t="s">
        <v>113</v>
      </c>
      <c r="Q6" s="4" t="s">
        <v>116</v>
      </c>
    </row>
    <row r="7" spans="1:17" x14ac:dyDescent="0.3">
      <c r="A7" s="4" t="s">
        <v>30</v>
      </c>
      <c r="B7" s="4" t="s">
        <v>12</v>
      </c>
      <c r="C7" s="4" t="s">
        <v>13</v>
      </c>
      <c r="D7" s="4" t="s">
        <v>14</v>
      </c>
      <c r="E7" s="4" t="s">
        <v>31</v>
      </c>
      <c r="F7" s="4" t="s">
        <v>22</v>
      </c>
      <c r="G7" s="4" t="s">
        <v>17</v>
      </c>
      <c r="H7" s="4" t="s">
        <v>18</v>
      </c>
      <c r="I7" s="5" t="s">
        <v>32</v>
      </c>
      <c r="J7" s="4">
        <v>2</v>
      </c>
      <c r="L7" s="4" t="s">
        <v>108</v>
      </c>
      <c r="M7" s="17">
        <v>46140</v>
      </c>
      <c r="N7" s="4" t="s">
        <v>109</v>
      </c>
      <c r="O7" s="4" t="s">
        <v>110</v>
      </c>
      <c r="P7" s="4" t="s">
        <v>113</v>
      </c>
      <c r="Q7" s="4"/>
    </row>
    <row r="8" spans="1:17" x14ac:dyDescent="0.3">
      <c r="A8" s="6" t="s">
        <v>33</v>
      </c>
      <c r="B8" s="6" t="s">
        <v>12</v>
      </c>
      <c r="C8" s="6" t="s">
        <v>13</v>
      </c>
      <c r="D8" s="6" t="s">
        <v>34</v>
      </c>
      <c r="E8" s="6" t="s">
        <v>21</v>
      </c>
      <c r="F8" s="6" t="s">
        <v>22</v>
      </c>
      <c r="G8" s="6" t="s">
        <v>17</v>
      </c>
      <c r="H8" s="6" t="s">
        <v>35</v>
      </c>
      <c r="I8" s="7" t="s">
        <v>23</v>
      </c>
      <c r="J8" s="6">
        <v>5</v>
      </c>
      <c r="L8" s="4" t="s">
        <v>108</v>
      </c>
      <c r="M8" s="17">
        <v>46140</v>
      </c>
      <c r="N8" s="4" t="s">
        <v>109</v>
      </c>
      <c r="O8" s="4" t="s">
        <v>110</v>
      </c>
      <c r="P8" s="4" t="s">
        <v>113</v>
      </c>
      <c r="Q8" s="4"/>
    </row>
    <row r="9" spans="1:17" x14ac:dyDescent="0.3">
      <c r="A9" s="6" t="s">
        <v>36</v>
      </c>
      <c r="B9" s="6" t="s">
        <v>12</v>
      </c>
      <c r="C9" s="6" t="s">
        <v>13</v>
      </c>
      <c r="D9" s="6" t="s">
        <v>37</v>
      </c>
      <c r="E9" s="6" t="s">
        <v>25</v>
      </c>
      <c r="F9" s="6" t="s">
        <v>22</v>
      </c>
      <c r="G9" s="6" t="s">
        <v>17</v>
      </c>
      <c r="H9" s="6" t="s">
        <v>38</v>
      </c>
      <c r="I9" s="7" t="s">
        <v>26</v>
      </c>
      <c r="J9" s="6">
        <v>5</v>
      </c>
      <c r="L9" s="4" t="s">
        <v>108</v>
      </c>
      <c r="M9" s="17">
        <v>46140</v>
      </c>
      <c r="N9" s="4" t="s">
        <v>109</v>
      </c>
      <c r="O9" s="4" t="s">
        <v>110</v>
      </c>
      <c r="P9" s="4" t="s">
        <v>111</v>
      </c>
      <c r="Q9" s="4"/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7"/>
      <c r="J10" s="6">
        <v>34</v>
      </c>
      <c r="L10" s="4"/>
      <c r="M10" s="18"/>
      <c r="N10" s="4"/>
      <c r="O10" s="4"/>
      <c r="P10" s="4"/>
      <c r="Q10" s="4"/>
    </row>
    <row r="11" spans="1:17" x14ac:dyDescent="0.3">
      <c r="A11" s="4" t="s">
        <v>39</v>
      </c>
      <c r="B11" s="4" t="s">
        <v>12</v>
      </c>
      <c r="C11" s="4" t="s">
        <v>40</v>
      </c>
      <c r="D11" s="4" t="s">
        <v>14</v>
      </c>
      <c r="E11" s="4" t="s">
        <v>15</v>
      </c>
      <c r="F11" s="4" t="s">
        <v>41</v>
      </c>
      <c r="G11" s="4" t="s">
        <v>42</v>
      </c>
      <c r="H11" s="4" t="s">
        <v>18</v>
      </c>
      <c r="I11" s="5" t="s">
        <v>19</v>
      </c>
      <c r="J11" s="4">
        <v>4</v>
      </c>
      <c r="L11" s="4" t="s">
        <v>108</v>
      </c>
      <c r="M11" s="17">
        <v>46140</v>
      </c>
      <c r="N11" s="4" t="s">
        <v>109</v>
      </c>
      <c r="O11" s="4" t="s">
        <v>110</v>
      </c>
      <c r="P11" s="4" t="s">
        <v>113</v>
      </c>
      <c r="Q11" s="4"/>
    </row>
    <row r="12" spans="1:17" x14ac:dyDescent="0.3">
      <c r="A12" s="4" t="s">
        <v>43</v>
      </c>
      <c r="B12" s="4" t="s">
        <v>12</v>
      </c>
      <c r="C12" s="4" t="s">
        <v>40</v>
      </c>
      <c r="D12" s="4" t="s">
        <v>14</v>
      </c>
      <c r="E12" s="4" t="s">
        <v>21</v>
      </c>
      <c r="F12" s="4" t="s">
        <v>41</v>
      </c>
      <c r="G12" s="4" t="s">
        <v>42</v>
      </c>
      <c r="H12" s="4" t="s">
        <v>18</v>
      </c>
      <c r="I12" s="5" t="s">
        <v>23</v>
      </c>
      <c r="J12" s="4">
        <v>6</v>
      </c>
      <c r="L12" s="4" t="s">
        <v>108</v>
      </c>
      <c r="M12" s="17">
        <v>46140</v>
      </c>
      <c r="N12" s="4" t="s">
        <v>109</v>
      </c>
      <c r="O12" s="4" t="s">
        <v>110</v>
      </c>
      <c r="P12" s="4" t="s">
        <v>113</v>
      </c>
      <c r="Q12" s="4"/>
    </row>
    <row r="13" spans="1:17" x14ac:dyDescent="0.3">
      <c r="A13" s="4" t="s">
        <v>44</v>
      </c>
      <c r="B13" s="4" t="s">
        <v>12</v>
      </c>
      <c r="C13" s="4" t="s">
        <v>40</v>
      </c>
      <c r="D13" s="4" t="s">
        <v>14</v>
      </c>
      <c r="E13" s="4" t="s">
        <v>25</v>
      </c>
      <c r="F13" s="4" t="s">
        <v>41</v>
      </c>
      <c r="G13" s="4" t="s">
        <v>42</v>
      </c>
      <c r="H13" s="4" t="s">
        <v>18</v>
      </c>
      <c r="I13" s="5" t="s">
        <v>26</v>
      </c>
      <c r="J13" s="4">
        <v>5</v>
      </c>
      <c r="L13" s="4" t="s">
        <v>108</v>
      </c>
      <c r="M13" s="17">
        <v>46140</v>
      </c>
      <c r="N13" s="4" t="s">
        <v>109</v>
      </c>
      <c r="O13" s="4" t="s">
        <v>110</v>
      </c>
      <c r="P13" s="4" t="s">
        <v>113</v>
      </c>
      <c r="Q13" s="4"/>
    </row>
    <row r="14" spans="1:17" x14ac:dyDescent="0.3">
      <c r="A14" s="4" t="s">
        <v>45</v>
      </c>
      <c r="B14" s="4" t="s">
        <v>12</v>
      </c>
      <c r="C14" s="4" t="s">
        <v>40</v>
      </c>
      <c r="D14" s="4" t="s">
        <v>14</v>
      </c>
      <c r="E14" s="4" t="s">
        <v>31</v>
      </c>
      <c r="F14" s="4" t="s">
        <v>41</v>
      </c>
      <c r="G14" s="4" t="s">
        <v>42</v>
      </c>
      <c r="H14" s="4" t="s">
        <v>18</v>
      </c>
      <c r="I14" s="5" t="s">
        <v>32</v>
      </c>
      <c r="J14" s="4">
        <v>2</v>
      </c>
      <c r="L14" s="4" t="s">
        <v>108</v>
      </c>
      <c r="M14" s="17">
        <v>46140</v>
      </c>
      <c r="N14" s="4" t="s">
        <v>109</v>
      </c>
      <c r="O14" s="4" t="s">
        <v>110</v>
      </c>
      <c r="P14" s="4" t="s">
        <v>113</v>
      </c>
      <c r="Q14" s="4"/>
    </row>
    <row r="15" spans="1:17" x14ac:dyDescent="0.3">
      <c r="A15" s="4"/>
      <c r="B15" s="4"/>
      <c r="C15" s="4"/>
      <c r="D15" s="4"/>
      <c r="E15" s="4"/>
      <c r="F15" s="4"/>
      <c r="G15" s="4"/>
      <c r="H15" s="4"/>
      <c r="I15" s="5"/>
      <c r="J15" s="6">
        <v>17</v>
      </c>
      <c r="L15" s="4"/>
      <c r="M15" s="18"/>
      <c r="N15" s="4"/>
      <c r="O15" s="4"/>
      <c r="P15" s="4"/>
      <c r="Q15" s="4"/>
    </row>
    <row r="16" spans="1:17" x14ac:dyDescent="0.3">
      <c r="A16" s="4" t="s">
        <v>46</v>
      </c>
      <c r="B16" s="4" t="s">
        <v>12</v>
      </c>
      <c r="C16" s="4" t="s">
        <v>47</v>
      </c>
      <c r="D16" s="4" t="s">
        <v>14</v>
      </c>
      <c r="E16" s="4" t="s">
        <v>48</v>
      </c>
      <c r="F16" s="4" t="s">
        <v>49</v>
      </c>
      <c r="G16" s="4" t="s">
        <v>50</v>
      </c>
      <c r="H16" s="4" t="s">
        <v>18</v>
      </c>
      <c r="I16" s="5" t="s">
        <v>51</v>
      </c>
      <c r="J16" s="4">
        <v>6</v>
      </c>
      <c r="L16" s="4" t="s">
        <v>108</v>
      </c>
      <c r="M16" s="17">
        <v>46140</v>
      </c>
      <c r="N16" s="4" t="s">
        <v>109</v>
      </c>
      <c r="O16" s="4" t="s">
        <v>110</v>
      </c>
      <c r="P16" s="4" t="s">
        <v>117</v>
      </c>
      <c r="Q16" s="4"/>
    </row>
    <row r="17" spans="1:17" x14ac:dyDescent="0.3">
      <c r="A17" s="4"/>
      <c r="B17" s="4"/>
      <c r="C17" s="4"/>
      <c r="D17" s="4"/>
      <c r="E17" s="4"/>
      <c r="F17" s="4"/>
      <c r="G17" s="4"/>
      <c r="H17" s="4"/>
      <c r="I17" s="5"/>
      <c r="J17" s="6">
        <v>6</v>
      </c>
      <c r="L17" s="4"/>
      <c r="M17" s="18"/>
      <c r="N17" s="4"/>
      <c r="O17" s="4"/>
      <c r="P17" s="4"/>
      <c r="Q17" s="4"/>
    </row>
    <row r="18" spans="1:17" x14ac:dyDescent="0.3">
      <c r="A18" s="4" t="s">
        <v>52</v>
      </c>
      <c r="B18" s="4" t="s">
        <v>12</v>
      </c>
      <c r="C18" s="4" t="s">
        <v>53</v>
      </c>
      <c r="D18" s="4" t="s">
        <v>14</v>
      </c>
      <c r="E18" s="4" t="s">
        <v>15</v>
      </c>
      <c r="F18" s="4" t="s">
        <v>54</v>
      </c>
      <c r="G18" s="4" t="s">
        <v>55</v>
      </c>
      <c r="H18" s="4" t="s">
        <v>18</v>
      </c>
      <c r="I18" s="5" t="s">
        <v>19</v>
      </c>
      <c r="J18" s="4">
        <v>5</v>
      </c>
      <c r="L18" s="4" t="s">
        <v>108</v>
      </c>
      <c r="M18" s="17">
        <v>46140</v>
      </c>
      <c r="N18" s="4" t="s">
        <v>109</v>
      </c>
      <c r="O18" s="4" t="s">
        <v>110</v>
      </c>
      <c r="P18" s="4" t="s">
        <v>118</v>
      </c>
      <c r="Q18" s="4"/>
    </row>
    <row r="19" spans="1:17" x14ac:dyDescent="0.3">
      <c r="A19" s="4" t="s">
        <v>56</v>
      </c>
      <c r="B19" s="4" t="s">
        <v>12</v>
      </c>
      <c r="C19" s="4" t="s">
        <v>53</v>
      </c>
      <c r="D19" s="4" t="s">
        <v>14</v>
      </c>
      <c r="E19" s="4" t="s">
        <v>21</v>
      </c>
      <c r="F19" s="4" t="s">
        <v>54</v>
      </c>
      <c r="G19" s="4" t="s">
        <v>55</v>
      </c>
      <c r="H19" s="4" t="s">
        <v>18</v>
      </c>
      <c r="I19" s="5" t="s">
        <v>23</v>
      </c>
      <c r="J19" s="4">
        <v>6</v>
      </c>
      <c r="L19" s="4" t="s">
        <v>108</v>
      </c>
      <c r="M19" s="17">
        <v>46140</v>
      </c>
      <c r="N19" s="4" t="s">
        <v>109</v>
      </c>
      <c r="O19" s="4" t="s">
        <v>110</v>
      </c>
      <c r="P19" s="4" t="s">
        <v>119</v>
      </c>
      <c r="Q19" s="4"/>
    </row>
    <row r="20" spans="1:17" x14ac:dyDescent="0.3">
      <c r="A20" s="4" t="s">
        <v>57</v>
      </c>
      <c r="B20" s="4" t="s">
        <v>12</v>
      </c>
      <c r="C20" s="4" t="s">
        <v>53</v>
      </c>
      <c r="D20" s="4" t="s">
        <v>14</v>
      </c>
      <c r="E20" s="4" t="s">
        <v>25</v>
      </c>
      <c r="F20" s="4" t="s">
        <v>54</v>
      </c>
      <c r="G20" s="4" t="s">
        <v>55</v>
      </c>
      <c r="H20" s="4" t="s">
        <v>18</v>
      </c>
      <c r="I20" s="5" t="s">
        <v>26</v>
      </c>
      <c r="J20" s="4">
        <v>8</v>
      </c>
      <c r="L20" s="4" t="s">
        <v>108</v>
      </c>
      <c r="M20" s="17">
        <v>46140</v>
      </c>
      <c r="N20" s="4" t="s">
        <v>109</v>
      </c>
      <c r="O20" s="4" t="s">
        <v>110</v>
      </c>
      <c r="P20" s="4" t="s">
        <v>118</v>
      </c>
      <c r="Q20" s="4"/>
    </row>
    <row r="21" spans="1:17" x14ac:dyDescent="0.3">
      <c r="A21" s="4" t="s">
        <v>58</v>
      </c>
      <c r="B21" s="4" t="s">
        <v>12</v>
      </c>
      <c r="C21" s="4" t="s">
        <v>53</v>
      </c>
      <c r="D21" s="4" t="s">
        <v>14</v>
      </c>
      <c r="E21" s="4" t="s">
        <v>28</v>
      </c>
      <c r="F21" s="4" t="s">
        <v>54</v>
      </c>
      <c r="G21" s="4" t="s">
        <v>55</v>
      </c>
      <c r="H21" s="4" t="s">
        <v>18</v>
      </c>
      <c r="I21" s="5" t="s">
        <v>29</v>
      </c>
      <c r="J21" s="4">
        <v>6</v>
      </c>
      <c r="L21" s="4" t="s">
        <v>108</v>
      </c>
      <c r="M21" s="17">
        <v>46140</v>
      </c>
      <c r="N21" s="4" t="s">
        <v>109</v>
      </c>
      <c r="O21" s="4" t="s">
        <v>110</v>
      </c>
      <c r="P21" s="4" t="s">
        <v>118</v>
      </c>
      <c r="Q21" s="4"/>
    </row>
    <row r="22" spans="1:17" x14ac:dyDescent="0.3">
      <c r="A22" s="4" t="s">
        <v>59</v>
      </c>
      <c r="B22" s="4" t="s">
        <v>12</v>
      </c>
      <c r="C22" s="4" t="s">
        <v>53</v>
      </c>
      <c r="D22" s="4" t="s">
        <v>14</v>
      </c>
      <c r="E22" s="4" t="s">
        <v>31</v>
      </c>
      <c r="F22" s="4" t="s">
        <v>54</v>
      </c>
      <c r="G22" s="4" t="s">
        <v>55</v>
      </c>
      <c r="H22" s="4" t="s">
        <v>18</v>
      </c>
      <c r="I22" s="5" t="s">
        <v>32</v>
      </c>
      <c r="J22" s="4">
        <v>6</v>
      </c>
      <c r="L22" s="4" t="s">
        <v>108</v>
      </c>
      <c r="M22" s="18"/>
      <c r="N22" s="4"/>
      <c r="O22" s="4"/>
      <c r="P22" s="4"/>
      <c r="Q22" s="4"/>
    </row>
    <row r="23" spans="1:17" x14ac:dyDescent="0.3">
      <c r="A23" s="4"/>
      <c r="B23" s="4"/>
      <c r="C23" s="4"/>
      <c r="D23" s="4"/>
      <c r="E23" s="4"/>
      <c r="F23" s="4"/>
      <c r="G23" s="4"/>
      <c r="H23" s="4"/>
      <c r="I23" s="5"/>
      <c r="J23" s="6">
        <v>31</v>
      </c>
      <c r="L23" s="4"/>
      <c r="M23" s="18"/>
      <c r="N23" s="4"/>
      <c r="O23" s="4"/>
      <c r="P23" s="4"/>
      <c r="Q23" s="4"/>
    </row>
    <row r="24" spans="1:17" x14ac:dyDescent="0.3">
      <c r="A24" s="4" t="s">
        <v>60</v>
      </c>
      <c r="B24" s="4" t="s">
        <v>12</v>
      </c>
      <c r="C24" s="4" t="s">
        <v>61</v>
      </c>
      <c r="D24" s="4" t="s">
        <v>37</v>
      </c>
      <c r="E24" s="4" t="s">
        <v>21</v>
      </c>
      <c r="F24" s="4" t="s">
        <v>62</v>
      </c>
      <c r="G24" s="4" t="s">
        <v>63</v>
      </c>
      <c r="H24" s="4" t="s">
        <v>38</v>
      </c>
      <c r="I24" s="5" t="s">
        <v>23</v>
      </c>
      <c r="J24" s="4">
        <v>9</v>
      </c>
      <c r="L24" s="4" t="s">
        <v>108</v>
      </c>
      <c r="M24" s="17">
        <v>46140</v>
      </c>
      <c r="N24" s="4" t="s">
        <v>109</v>
      </c>
      <c r="O24" s="4" t="s">
        <v>110</v>
      </c>
      <c r="P24" s="4" t="s">
        <v>120</v>
      </c>
      <c r="Q24" s="4"/>
    </row>
    <row r="25" spans="1:17" x14ac:dyDescent="0.3">
      <c r="A25" s="4" t="s">
        <v>64</v>
      </c>
      <c r="B25" s="4" t="s">
        <v>12</v>
      </c>
      <c r="C25" s="4" t="s">
        <v>61</v>
      </c>
      <c r="D25" s="4" t="s">
        <v>34</v>
      </c>
      <c r="E25" s="4" t="s">
        <v>25</v>
      </c>
      <c r="F25" s="4" t="s">
        <v>62</v>
      </c>
      <c r="G25" s="4" t="s">
        <v>63</v>
      </c>
      <c r="H25" s="4" t="s">
        <v>35</v>
      </c>
      <c r="I25" s="5" t="s">
        <v>26</v>
      </c>
      <c r="J25" s="4">
        <v>7</v>
      </c>
      <c r="L25" s="4" t="s">
        <v>108</v>
      </c>
      <c r="M25" s="17">
        <v>46140</v>
      </c>
      <c r="N25" s="4" t="s">
        <v>109</v>
      </c>
      <c r="O25" s="4" t="s">
        <v>110</v>
      </c>
      <c r="P25" s="4" t="s">
        <v>120</v>
      </c>
      <c r="Q25" s="4"/>
    </row>
    <row r="26" spans="1:17" x14ac:dyDescent="0.3">
      <c r="A26" s="4"/>
      <c r="B26" s="4"/>
      <c r="C26" s="4"/>
      <c r="D26" s="4"/>
      <c r="E26" s="4"/>
      <c r="F26" s="4"/>
      <c r="G26" s="4"/>
      <c r="H26" s="4"/>
      <c r="I26" s="5"/>
      <c r="J26" s="6">
        <v>16</v>
      </c>
      <c r="L26" s="4"/>
      <c r="M26" s="18"/>
      <c r="N26" s="4"/>
      <c r="O26" s="4"/>
      <c r="P26" s="4"/>
      <c r="Q26" s="4"/>
    </row>
    <row r="27" spans="1:17" x14ac:dyDescent="0.3">
      <c r="A27" s="8" t="s">
        <v>65</v>
      </c>
      <c r="B27" s="9"/>
      <c r="C27" s="9"/>
      <c r="D27" s="9"/>
      <c r="E27" s="9"/>
      <c r="F27" s="9"/>
      <c r="G27" s="9"/>
      <c r="H27" s="9"/>
      <c r="I27" s="10"/>
      <c r="J27" s="8">
        <v>104</v>
      </c>
      <c r="L27" s="4"/>
      <c r="M27" s="18"/>
      <c r="N27" s="4"/>
      <c r="O27" s="4"/>
      <c r="P27" s="4"/>
      <c r="Q27" s="4"/>
    </row>
  </sheetData>
  <mergeCells count="2">
    <mergeCell ref="A1:J1"/>
    <mergeCell ref="L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09B43-67D9-4C10-A3A7-E965991C7EF0}">
  <dimension ref="A1:S59"/>
  <sheetViews>
    <sheetView tabSelected="1" workbookViewId="0">
      <selection activeCell="B3" sqref="B3:B8"/>
    </sheetView>
  </sheetViews>
  <sheetFormatPr defaultRowHeight="14.4" x14ac:dyDescent="0.3"/>
  <cols>
    <col min="4" max="4" width="14.21875" bestFit="1" customWidth="1"/>
    <col min="6" max="6" width="5.88671875" bestFit="1" customWidth="1"/>
    <col min="7" max="7" width="9.44140625" bestFit="1" customWidth="1"/>
    <col min="9" max="9" width="10.21875" bestFit="1" customWidth="1"/>
    <col min="11" max="11" width="11.21875" bestFit="1" customWidth="1"/>
    <col min="14" max="15" width="10.21875" bestFit="1" customWidth="1"/>
    <col min="16" max="16" width="7.77734375" bestFit="1" customWidth="1"/>
    <col min="17" max="17" width="9.77734375" bestFit="1" customWidth="1"/>
    <col min="18" max="18" width="11.77734375" bestFit="1" customWidth="1"/>
    <col min="19" max="19" width="14.21875" bestFit="1" customWidth="1"/>
  </cols>
  <sheetData>
    <row r="1" spans="1:19" x14ac:dyDescent="0.3">
      <c r="A1" s="19"/>
      <c r="B1" s="19"/>
      <c r="C1" s="20" t="s">
        <v>121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1"/>
    </row>
    <row r="2" spans="1:19" x14ac:dyDescent="0.3">
      <c r="A2" s="11" t="s">
        <v>66</v>
      </c>
      <c r="B2" s="12" t="s">
        <v>67</v>
      </c>
      <c r="C2" s="12" t="s">
        <v>8</v>
      </c>
      <c r="D2" s="12" t="s">
        <v>9</v>
      </c>
      <c r="E2" s="12" t="s">
        <v>68</v>
      </c>
      <c r="F2" s="13" t="s">
        <v>69</v>
      </c>
      <c r="G2" s="11" t="s">
        <v>70</v>
      </c>
      <c r="H2" s="12" t="s">
        <v>71</v>
      </c>
      <c r="I2" s="13" t="s">
        <v>72</v>
      </c>
      <c r="J2" s="11" t="s">
        <v>73</v>
      </c>
      <c r="K2" s="11" t="s">
        <v>74</v>
      </c>
      <c r="L2" s="11" t="s">
        <v>75</v>
      </c>
      <c r="M2" s="11" t="s">
        <v>76</v>
      </c>
      <c r="N2" s="11" t="s">
        <v>77</v>
      </c>
      <c r="O2" s="13" t="s">
        <v>72</v>
      </c>
      <c r="P2" s="11" t="s">
        <v>78</v>
      </c>
      <c r="Q2" s="11" t="s">
        <v>79</v>
      </c>
      <c r="R2" s="11" t="s">
        <v>99</v>
      </c>
      <c r="S2" s="11" t="s">
        <v>100</v>
      </c>
    </row>
    <row r="3" spans="1:19" x14ac:dyDescent="0.3">
      <c r="A3" s="28">
        <v>1</v>
      </c>
      <c r="B3" s="23" t="s">
        <v>62</v>
      </c>
      <c r="C3" s="23" t="s">
        <v>80</v>
      </c>
      <c r="D3" s="24" t="s">
        <v>23</v>
      </c>
      <c r="E3" s="14">
        <v>7999</v>
      </c>
      <c r="F3" s="15">
        <v>0.4</v>
      </c>
      <c r="G3" s="11">
        <f>ROUND(E3*(1-F3),0)</f>
        <v>4799</v>
      </c>
      <c r="H3" s="14" t="s">
        <v>81</v>
      </c>
      <c r="I3" s="15">
        <v>0.1</v>
      </c>
      <c r="J3" s="11">
        <f>ROUND(G3*(1-I3),1)</f>
        <v>4319.1000000000004</v>
      </c>
      <c r="K3" s="14">
        <f>ROUND(J3/1.18,1)</f>
        <v>3660.3</v>
      </c>
      <c r="L3" s="14">
        <f>K3*18%</f>
        <v>658.85400000000004</v>
      </c>
      <c r="M3" s="14" t="s">
        <v>82</v>
      </c>
      <c r="N3" s="14">
        <f>ROUND(P3*(1-O3),0)</f>
        <v>499</v>
      </c>
      <c r="O3" s="15">
        <v>0.66700000000000004</v>
      </c>
      <c r="P3" s="14">
        <v>1499</v>
      </c>
      <c r="Q3" s="14">
        <f>SUM(R3+S3)</f>
        <v>101.93076000000001</v>
      </c>
      <c r="R3" s="14">
        <f>J3*2%</f>
        <v>86.382000000000005</v>
      </c>
      <c r="S3" s="14">
        <f>R3*18%</f>
        <v>15.54876</v>
      </c>
    </row>
    <row r="4" spans="1:19" x14ac:dyDescent="0.3">
      <c r="A4" s="29"/>
      <c r="B4" s="23"/>
      <c r="C4" s="23"/>
      <c r="D4" s="24"/>
      <c r="E4" s="14">
        <v>7999</v>
      </c>
      <c r="F4" s="15">
        <v>0.4</v>
      </c>
      <c r="G4" s="11">
        <f t="shared" ref="G4:G59" si="0">ROUND(E4*(1-F4),0)</f>
        <v>4799</v>
      </c>
      <c r="H4" s="14" t="s">
        <v>83</v>
      </c>
      <c r="I4" s="15">
        <v>0.05</v>
      </c>
      <c r="J4" s="11">
        <f t="shared" ref="J4:J59" si="1">ROUND(G4*(1-I4),1)</f>
        <v>4559.1000000000004</v>
      </c>
      <c r="K4" s="14">
        <f t="shared" ref="K4:K59" si="2">ROUND(J4/1.18,1)</f>
        <v>3863.6</v>
      </c>
      <c r="L4" s="14">
        <f t="shared" ref="L4:L59" si="3">K4*18%</f>
        <v>695.44799999999998</v>
      </c>
      <c r="M4" s="14" t="s">
        <v>82</v>
      </c>
      <c r="N4" s="14">
        <f t="shared" ref="N4:N23" si="4">ROUND(P4*(1-O4),0)</f>
        <v>499</v>
      </c>
      <c r="O4" s="15">
        <v>0.66700000000000004</v>
      </c>
      <c r="P4" s="14">
        <v>1499</v>
      </c>
      <c r="Q4" s="14">
        <f t="shared" ref="Q4:Q59" si="5">SUM(R4+S4)</f>
        <v>107.59476000000001</v>
      </c>
      <c r="R4" s="14">
        <f t="shared" ref="R4:R59" si="6">J4*2%</f>
        <v>91.182000000000002</v>
      </c>
      <c r="S4" s="14">
        <f t="shared" ref="S4:S59" si="7">R4*18%</f>
        <v>16.412759999999999</v>
      </c>
    </row>
    <row r="5" spans="1:19" x14ac:dyDescent="0.3">
      <c r="A5" s="29"/>
      <c r="B5" s="23"/>
      <c r="C5" s="23"/>
      <c r="D5" s="24"/>
      <c r="E5" s="14">
        <v>7999</v>
      </c>
      <c r="F5" s="15">
        <v>0.4</v>
      </c>
      <c r="G5" s="11">
        <f>ROUND(E5*(1-F5),0)</f>
        <v>4799</v>
      </c>
      <c r="H5" s="14" t="s">
        <v>84</v>
      </c>
      <c r="I5" s="15">
        <v>0</v>
      </c>
      <c r="J5" s="11">
        <f t="shared" si="1"/>
        <v>4799</v>
      </c>
      <c r="K5" s="14">
        <f t="shared" si="2"/>
        <v>4066.9</v>
      </c>
      <c r="L5" s="14">
        <f t="shared" si="3"/>
        <v>732.04200000000003</v>
      </c>
      <c r="M5" s="14" t="s">
        <v>82</v>
      </c>
      <c r="N5" s="14">
        <f t="shared" si="4"/>
        <v>499</v>
      </c>
      <c r="O5" s="15">
        <v>0.66700000000000004</v>
      </c>
      <c r="P5" s="14">
        <v>1499</v>
      </c>
      <c r="Q5" s="14">
        <f t="shared" si="5"/>
        <v>113.2564</v>
      </c>
      <c r="R5" s="14">
        <f t="shared" si="6"/>
        <v>95.98</v>
      </c>
      <c r="S5" s="14">
        <f t="shared" si="7"/>
        <v>17.276399999999999</v>
      </c>
    </row>
    <row r="6" spans="1:19" x14ac:dyDescent="0.3">
      <c r="A6" s="29"/>
      <c r="B6" s="23"/>
      <c r="C6" s="23" t="s">
        <v>85</v>
      </c>
      <c r="D6" s="24" t="s">
        <v>86</v>
      </c>
      <c r="E6" s="14">
        <v>7999</v>
      </c>
      <c r="F6" s="15">
        <v>0.4</v>
      </c>
      <c r="G6" s="11">
        <f t="shared" si="0"/>
        <v>4799</v>
      </c>
      <c r="H6" s="14" t="s">
        <v>81</v>
      </c>
      <c r="I6" s="15">
        <v>0.1</v>
      </c>
      <c r="J6" s="11">
        <f t="shared" si="1"/>
        <v>4319.1000000000004</v>
      </c>
      <c r="K6" s="14">
        <f t="shared" si="2"/>
        <v>3660.3</v>
      </c>
      <c r="L6" s="14">
        <f t="shared" si="3"/>
        <v>658.85400000000004</v>
      </c>
      <c r="M6" s="14" t="s">
        <v>82</v>
      </c>
      <c r="N6" s="14">
        <f t="shared" si="4"/>
        <v>499</v>
      </c>
      <c r="O6" s="15">
        <v>0.66700000000000004</v>
      </c>
      <c r="P6" s="14">
        <v>1499</v>
      </c>
      <c r="Q6" s="14">
        <f t="shared" si="5"/>
        <v>101.93076000000001</v>
      </c>
      <c r="R6" s="14">
        <f t="shared" si="6"/>
        <v>86.382000000000005</v>
      </c>
      <c r="S6" s="14">
        <f t="shared" si="7"/>
        <v>15.54876</v>
      </c>
    </row>
    <row r="7" spans="1:19" x14ac:dyDescent="0.3">
      <c r="A7" s="29"/>
      <c r="B7" s="23"/>
      <c r="C7" s="23"/>
      <c r="D7" s="24"/>
      <c r="E7" s="14">
        <v>7999</v>
      </c>
      <c r="F7" s="15">
        <v>0.4</v>
      </c>
      <c r="G7" s="11">
        <f t="shared" si="0"/>
        <v>4799</v>
      </c>
      <c r="H7" s="14" t="s">
        <v>83</v>
      </c>
      <c r="I7" s="15">
        <v>0.05</v>
      </c>
      <c r="J7" s="11">
        <f t="shared" si="1"/>
        <v>4559.1000000000004</v>
      </c>
      <c r="K7" s="14">
        <f t="shared" si="2"/>
        <v>3863.6</v>
      </c>
      <c r="L7" s="14">
        <f t="shared" si="3"/>
        <v>695.44799999999998</v>
      </c>
      <c r="M7" s="14" t="s">
        <v>82</v>
      </c>
      <c r="N7" s="14">
        <f t="shared" si="4"/>
        <v>499</v>
      </c>
      <c r="O7" s="15">
        <v>0.66700000000000004</v>
      </c>
      <c r="P7" s="14">
        <v>1499</v>
      </c>
      <c r="Q7" s="14">
        <f t="shared" si="5"/>
        <v>107.59476000000001</v>
      </c>
      <c r="R7" s="14">
        <f t="shared" si="6"/>
        <v>91.182000000000002</v>
      </c>
      <c r="S7" s="14">
        <f t="shared" si="7"/>
        <v>16.412759999999999</v>
      </c>
    </row>
    <row r="8" spans="1:19" x14ac:dyDescent="0.3">
      <c r="A8" s="30"/>
      <c r="B8" s="23"/>
      <c r="C8" s="23"/>
      <c r="D8" s="24"/>
      <c r="E8" s="14">
        <v>7999</v>
      </c>
      <c r="F8" s="15">
        <v>0.4</v>
      </c>
      <c r="G8" s="11">
        <f t="shared" si="0"/>
        <v>4799</v>
      </c>
      <c r="H8" s="14" t="s">
        <v>84</v>
      </c>
      <c r="I8" s="15">
        <v>0</v>
      </c>
      <c r="J8" s="11">
        <f t="shared" si="1"/>
        <v>4799</v>
      </c>
      <c r="K8" s="14">
        <f t="shared" si="2"/>
        <v>4066.9</v>
      </c>
      <c r="L8" s="14">
        <f t="shared" si="3"/>
        <v>732.04200000000003</v>
      </c>
      <c r="M8" s="14" t="s">
        <v>82</v>
      </c>
      <c r="N8" s="14">
        <f t="shared" si="4"/>
        <v>499</v>
      </c>
      <c r="O8" s="15">
        <v>0.66700000000000004</v>
      </c>
      <c r="P8" s="14">
        <v>1499</v>
      </c>
      <c r="Q8" s="14">
        <f t="shared" si="5"/>
        <v>113.2564</v>
      </c>
      <c r="R8" s="14">
        <f t="shared" si="6"/>
        <v>95.98</v>
      </c>
      <c r="S8" s="14">
        <f t="shared" si="7"/>
        <v>17.276399999999999</v>
      </c>
    </row>
    <row r="9" spans="1:19" x14ac:dyDescent="0.3">
      <c r="A9" s="22">
        <v>2</v>
      </c>
      <c r="B9" s="23" t="s">
        <v>87</v>
      </c>
      <c r="C9" s="23" t="s">
        <v>88</v>
      </c>
      <c r="D9" s="25" t="s">
        <v>23</v>
      </c>
      <c r="E9" s="14">
        <v>8499</v>
      </c>
      <c r="F9" s="15">
        <v>0.38829999999999998</v>
      </c>
      <c r="G9" s="11">
        <f t="shared" si="0"/>
        <v>5199</v>
      </c>
      <c r="H9" s="14" t="s">
        <v>81</v>
      </c>
      <c r="I9" s="15">
        <v>0.1</v>
      </c>
      <c r="J9" s="11">
        <f t="shared" si="1"/>
        <v>4679.1000000000004</v>
      </c>
      <c r="K9" s="14">
        <f t="shared" si="2"/>
        <v>3965.3</v>
      </c>
      <c r="L9" s="14">
        <f t="shared" si="3"/>
        <v>713.75400000000002</v>
      </c>
      <c r="M9" s="14" t="s">
        <v>82</v>
      </c>
      <c r="N9" s="14">
        <f t="shared" si="4"/>
        <v>499</v>
      </c>
      <c r="O9" s="15">
        <v>0.66700000000000004</v>
      </c>
      <c r="P9" s="14">
        <v>1499</v>
      </c>
      <c r="Q9" s="14">
        <f t="shared" si="5"/>
        <v>110.42676</v>
      </c>
      <c r="R9" s="14">
        <f t="shared" si="6"/>
        <v>93.582000000000008</v>
      </c>
      <c r="S9" s="14">
        <f t="shared" si="7"/>
        <v>16.844760000000001</v>
      </c>
    </row>
    <row r="10" spans="1:19" x14ac:dyDescent="0.3">
      <c r="A10" s="22"/>
      <c r="B10" s="23"/>
      <c r="C10" s="23"/>
      <c r="D10" s="26"/>
      <c r="E10" s="14">
        <v>8499</v>
      </c>
      <c r="F10" s="15">
        <v>0.38829999999999998</v>
      </c>
      <c r="G10" s="11">
        <f t="shared" si="0"/>
        <v>5199</v>
      </c>
      <c r="H10" s="14" t="s">
        <v>83</v>
      </c>
      <c r="I10" s="15">
        <v>0.05</v>
      </c>
      <c r="J10" s="11">
        <f t="shared" si="1"/>
        <v>4939.1000000000004</v>
      </c>
      <c r="K10" s="14">
        <f t="shared" si="2"/>
        <v>4185.7</v>
      </c>
      <c r="L10" s="14">
        <f t="shared" si="3"/>
        <v>753.42599999999993</v>
      </c>
      <c r="M10" s="14" t="s">
        <v>82</v>
      </c>
      <c r="N10" s="14">
        <f t="shared" si="4"/>
        <v>499</v>
      </c>
      <c r="O10" s="15">
        <v>0.66700000000000004</v>
      </c>
      <c r="P10" s="14">
        <v>1499</v>
      </c>
      <c r="Q10" s="14">
        <f t="shared" si="5"/>
        <v>116.56276000000001</v>
      </c>
      <c r="R10" s="14">
        <f t="shared" si="6"/>
        <v>98.782000000000011</v>
      </c>
      <c r="S10" s="14">
        <f t="shared" si="7"/>
        <v>17.780760000000001</v>
      </c>
    </row>
    <row r="11" spans="1:19" x14ac:dyDescent="0.3">
      <c r="A11" s="22"/>
      <c r="B11" s="23"/>
      <c r="C11" s="23"/>
      <c r="D11" s="27"/>
      <c r="E11" s="14">
        <v>8499</v>
      </c>
      <c r="F11" s="15">
        <v>0.38829999999999998</v>
      </c>
      <c r="G11" s="11">
        <f t="shared" si="0"/>
        <v>5199</v>
      </c>
      <c r="H11" s="14" t="s">
        <v>84</v>
      </c>
      <c r="I11" s="15">
        <v>0</v>
      </c>
      <c r="J11" s="11">
        <f t="shared" si="1"/>
        <v>5199</v>
      </c>
      <c r="K11" s="14">
        <f t="shared" si="2"/>
        <v>4405.8999999999996</v>
      </c>
      <c r="L11" s="14">
        <f t="shared" si="3"/>
        <v>793.0619999999999</v>
      </c>
      <c r="M11" s="14" t="s">
        <v>82</v>
      </c>
      <c r="N11" s="14">
        <f t="shared" si="4"/>
        <v>499</v>
      </c>
      <c r="O11" s="15">
        <v>0.66700000000000004</v>
      </c>
      <c r="P11" s="14">
        <v>1499</v>
      </c>
      <c r="Q11" s="14">
        <f t="shared" si="5"/>
        <v>122.69640000000001</v>
      </c>
      <c r="R11" s="14">
        <f t="shared" si="6"/>
        <v>103.98</v>
      </c>
      <c r="S11" s="14">
        <f t="shared" si="7"/>
        <v>18.7164</v>
      </c>
    </row>
    <row r="12" spans="1:19" x14ac:dyDescent="0.3">
      <c r="A12" s="22"/>
      <c r="B12" s="23"/>
      <c r="C12" s="23"/>
      <c r="D12" s="25" t="s">
        <v>26</v>
      </c>
      <c r="E12" s="14">
        <v>8499</v>
      </c>
      <c r="F12" s="15">
        <v>0.38829999999999998</v>
      </c>
      <c r="G12" s="11">
        <f t="shared" si="0"/>
        <v>5199</v>
      </c>
      <c r="H12" s="14" t="s">
        <v>81</v>
      </c>
      <c r="I12" s="15">
        <v>0.1</v>
      </c>
      <c r="J12" s="11">
        <f t="shared" si="1"/>
        <v>4679.1000000000004</v>
      </c>
      <c r="K12" s="14">
        <f t="shared" si="2"/>
        <v>3965.3</v>
      </c>
      <c r="L12" s="14">
        <f t="shared" si="3"/>
        <v>713.75400000000002</v>
      </c>
      <c r="M12" s="14" t="s">
        <v>82</v>
      </c>
      <c r="N12" s="14">
        <f t="shared" si="4"/>
        <v>499</v>
      </c>
      <c r="O12" s="15">
        <v>0.66700000000000004</v>
      </c>
      <c r="P12" s="14">
        <v>1499</v>
      </c>
      <c r="Q12" s="14">
        <f t="shared" si="5"/>
        <v>110.42676</v>
      </c>
      <c r="R12" s="14">
        <f t="shared" si="6"/>
        <v>93.582000000000008</v>
      </c>
      <c r="S12" s="14">
        <f t="shared" si="7"/>
        <v>16.844760000000001</v>
      </c>
    </row>
    <row r="13" spans="1:19" x14ac:dyDescent="0.3">
      <c r="A13" s="22"/>
      <c r="B13" s="23"/>
      <c r="C13" s="23"/>
      <c r="D13" s="26"/>
      <c r="E13" s="14">
        <v>8499</v>
      </c>
      <c r="F13" s="15">
        <v>0.38829999999999998</v>
      </c>
      <c r="G13" s="11">
        <f t="shared" si="0"/>
        <v>5199</v>
      </c>
      <c r="H13" s="14" t="s">
        <v>83</v>
      </c>
      <c r="I13" s="15">
        <v>0.05</v>
      </c>
      <c r="J13" s="11">
        <f t="shared" si="1"/>
        <v>4939.1000000000004</v>
      </c>
      <c r="K13" s="14">
        <f t="shared" si="2"/>
        <v>4185.7</v>
      </c>
      <c r="L13" s="14">
        <f t="shared" si="3"/>
        <v>753.42599999999993</v>
      </c>
      <c r="M13" s="14" t="s">
        <v>82</v>
      </c>
      <c r="N13" s="14">
        <f t="shared" si="4"/>
        <v>499</v>
      </c>
      <c r="O13" s="15">
        <v>0.66700000000000004</v>
      </c>
      <c r="P13" s="14">
        <v>1499</v>
      </c>
      <c r="Q13" s="14">
        <f t="shared" si="5"/>
        <v>116.56276000000001</v>
      </c>
      <c r="R13" s="14">
        <f t="shared" si="6"/>
        <v>98.782000000000011</v>
      </c>
      <c r="S13" s="14">
        <f t="shared" si="7"/>
        <v>17.780760000000001</v>
      </c>
    </row>
    <row r="14" spans="1:19" x14ac:dyDescent="0.3">
      <c r="A14" s="22"/>
      <c r="B14" s="23"/>
      <c r="C14" s="23"/>
      <c r="D14" s="27"/>
      <c r="E14" s="14">
        <v>8499</v>
      </c>
      <c r="F14" s="15">
        <v>0.38829999999999998</v>
      </c>
      <c r="G14" s="11">
        <f t="shared" si="0"/>
        <v>5199</v>
      </c>
      <c r="H14" s="14" t="s">
        <v>84</v>
      </c>
      <c r="I14" s="15">
        <v>0</v>
      </c>
      <c r="J14" s="11">
        <f t="shared" si="1"/>
        <v>5199</v>
      </c>
      <c r="K14" s="14">
        <f t="shared" si="2"/>
        <v>4405.8999999999996</v>
      </c>
      <c r="L14" s="14">
        <f t="shared" si="3"/>
        <v>793.0619999999999</v>
      </c>
      <c r="M14" s="14" t="s">
        <v>82</v>
      </c>
      <c r="N14" s="14">
        <f t="shared" si="4"/>
        <v>499</v>
      </c>
      <c r="O14" s="15">
        <v>0.66700000000000004</v>
      </c>
      <c r="P14" s="14">
        <v>1499</v>
      </c>
      <c r="Q14" s="14">
        <f t="shared" si="5"/>
        <v>122.69640000000001</v>
      </c>
      <c r="R14" s="14">
        <f t="shared" si="6"/>
        <v>103.98</v>
      </c>
      <c r="S14" s="14">
        <f t="shared" si="7"/>
        <v>18.7164</v>
      </c>
    </row>
    <row r="15" spans="1:19" x14ac:dyDescent="0.3">
      <c r="A15" s="22"/>
      <c r="B15" s="23"/>
      <c r="C15" s="23"/>
      <c r="D15" s="25" t="s">
        <v>89</v>
      </c>
      <c r="E15" s="14">
        <v>8499</v>
      </c>
      <c r="F15" s="15">
        <v>0.38829999999999998</v>
      </c>
      <c r="G15" s="11">
        <f t="shared" si="0"/>
        <v>5199</v>
      </c>
      <c r="H15" s="14" t="s">
        <v>81</v>
      </c>
      <c r="I15" s="15">
        <v>0.1</v>
      </c>
      <c r="J15" s="11">
        <f t="shared" si="1"/>
        <v>4679.1000000000004</v>
      </c>
      <c r="K15" s="14">
        <f t="shared" si="2"/>
        <v>3965.3</v>
      </c>
      <c r="L15" s="14">
        <f t="shared" si="3"/>
        <v>713.75400000000002</v>
      </c>
      <c r="M15" s="14" t="s">
        <v>82</v>
      </c>
      <c r="N15" s="14">
        <f t="shared" si="4"/>
        <v>499</v>
      </c>
      <c r="O15" s="15">
        <v>0.66700000000000004</v>
      </c>
      <c r="P15" s="14">
        <v>1499</v>
      </c>
      <c r="Q15" s="14">
        <f t="shared" si="5"/>
        <v>110.42676</v>
      </c>
      <c r="R15" s="14">
        <f t="shared" si="6"/>
        <v>93.582000000000008</v>
      </c>
      <c r="S15" s="14">
        <f t="shared" si="7"/>
        <v>16.844760000000001</v>
      </c>
    </row>
    <row r="16" spans="1:19" x14ac:dyDescent="0.3">
      <c r="A16" s="22"/>
      <c r="B16" s="23"/>
      <c r="C16" s="23"/>
      <c r="D16" s="26"/>
      <c r="E16" s="14">
        <v>8499</v>
      </c>
      <c r="F16" s="15">
        <v>0.38829999999999998</v>
      </c>
      <c r="G16" s="11">
        <f t="shared" si="0"/>
        <v>5199</v>
      </c>
      <c r="H16" s="14" t="s">
        <v>83</v>
      </c>
      <c r="I16" s="15">
        <v>0.05</v>
      </c>
      <c r="J16" s="11">
        <f t="shared" si="1"/>
        <v>4939.1000000000004</v>
      </c>
      <c r="K16" s="14">
        <f t="shared" si="2"/>
        <v>4185.7</v>
      </c>
      <c r="L16" s="14">
        <f t="shared" si="3"/>
        <v>753.42599999999993</v>
      </c>
      <c r="M16" s="14" t="s">
        <v>82</v>
      </c>
      <c r="N16" s="14">
        <f t="shared" si="4"/>
        <v>499</v>
      </c>
      <c r="O16" s="15">
        <v>0.66700000000000004</v>
      </c>
      <c r="P16" s="14">
        <v>1499</v>
      </c>
      <c r="Q16" s="14">
        <f t="shared" si="5"/>
        <v>116.56276000000001</v>
      </c>
      <c r="R16" s="14">
        <f t="shared" si="6"/>
        <v>98.782000000000011</v>
      </c>
      <c r="S16" s="14">
        <f t="shared" si="7"/>
        <v>17.780760000000001</v>
      </c>
    </row>
    <row r="17" spans="1:19" x14ac:dyDescent="0.3">
      <c r="A17" s="22"/>
      <c r="B17" s="23"/>
      <c r="C17" s="23"/>
      <c r="D17" s="27"/>
      <c r="E17" s="14">
        <v>8499</v>
      </c>
      <c r="F17" s="15">
        <v>0.38829999999999998</v>
      </c>
      <c r="G17" s="11">
        <f t="shared" si="0"/>
        <v>5199</v>
      </c>
      <c r="H17" s="14" t="s">
        <v>84</v>
      </c>
      <c r="I17" s="15">
        <v>0</v>
      </c>
      <c r="J17" s="11">
        <f t="shared" si="1"/>
        <v>5199</v>
      </c>
      <c r="K17" s="14">
        <f t="shared" si="2"/>
        <v>4405.8999999999996</v>
      </c>
      <c r="L17" s="14">
        <f t="shared" si="3"/>
        <v>793.0619999999999</v>
      </c>
      <c r="M17" s="14" t="s">
        <v>82</v>
      </c>
      <c r="N17" s="14">
        <f t="shared" si="4"/>
        <v>499</v>
      </c>
      <c r="O17" s="15">
        <v>0.66700000000000004</v>
      </c>
      <c r="P17" s="14">
        <v>1499</v>
      </c>
      <c r="Q17" s="14">
        <f t="shared" si="5"/>
        <v>122.69640000000001</v>
      </c>
      <c r="R17" s="14">
        <f t="shared" si="6"/>
        <v>103.98</v>
      </c>
      <c r="S17" s="14">
        <f t="shared" si="7"/>
        <v>18.7164</v>
      </c>
    </row>
    <row r="18" spans="1:19" x14ac:dyDescent="0.3">
      <c r="A18" s="22"/>
      <c r="B18" s="23"/>
      <c r="C18" s="23"/>
      <c r="D18" s="25" t="s">
        <v>29</v>
      </c>
      <c r="E18" s="14">
        <v>8499</v>
      </c>
      <c r="F18" s="15">
        <v>0.38829999999999998</v>
      </c>
      <c r="G18" s="11">
        <f t="shared" si="0"/>
        <v>5199</v>
      </c>
      <c r="H18" s="14" t="s">
        <v>81</v>
      </c>
      <c r="I18" s="15">
        <v>0.1</v>
      </c>
      <c r="J18" s="11">
        <f t="shared" si="1"/>
        <v>4679.1000000000004</v>
      </c>
      <c r="K18" s="14">
        <f t="shared" si="2"/>
        <v>3965.3</v>
      </c>
      <c r="L18" s="14">
        <f t="shared" si="3"/>
        <v>713.75400000000002</v>
      </c>
      <c r="M18" s="14" t="s">
        <v>82</v>
      </c>
      <c r="N18" s="14">
        <f t="shared" si="4"/>
        <v>499</v>
      </c>
      <c r="O18" s="15">
        <v>0.66700000000000004</v>
      </c>
      <c r="P18" s="14">
        <v>1499</v>
      </c>
      <c r="Q18" s="14">
        <f t="shared" si="5"/>
        <v>110.42676</v>
      </c>
      <c r="R18" s="14">
        <f t="shared" si="6"/>
        <v>93.582000000000008</v>
      </c>
      <c r="S18" s="14">
        <f t="shared" si="7"/>
        <v>16.844760000000001</v>
      </c>
    </row>
    <row r="19" spans="1:19" x14ac:dyDescent="0.3">
      <c r="A19" s="22"/>
      <c r="B19" s="23"/>
      <c r="C19" s="23"/>
      <c r="D19" s="26"/>
      <c r="E19" s="14">
        <v>8499</v>
      </c>
      <c r="F19" s="15">
        <v>0.38829999999999998</v>
      </c>
      <c r="G19" s="11">
        <f t="shared" si="0"/>
        <v>5199</v>
      </c>
      <c r="H19" s="14" t="s">
        <v>83</v>
      </c>
      <c r="I19" s="15">
        <v>0.05</v>
      </c>
      <c r="J19" s="11">
        <f t="shared" si="1"/>
        <v>4939.1000000000004</v>
      </c>
      <c r="K19" s="14">
        <f t="shared" si="2"/>
        <v>4185.7</v>
      </c>
      <c r="L19" s="14">
        <f t="shared" si="3"/>
        <v>753.42599999999993</v>
      </c>
      <c r="M19" s="14" t="s">
        <v>82</v>
      </c>
      <c r="N19" s="14">
        <f t="shared" si="4"/>
        <v>499</v>
      </c>
      <c r="O19" s="15">
        <v>0.66700000000000004</v>
      </c>
      <c r="P19" s="14">
        <v>1499</v>
      </c>
      <c r="Q19" s="14">
        <f t="shared" si="5"/>
        <v>116.56276000000001</v>
      </c>
      <c r="R19" s="14">
        <f t="shared" si="6"/>
        <v>98.782000000000011</v>
      </c>
      <c r="S19" s="14">
        <f t="shared" si="7"/>
        <v>17.780760000000001</v>
      </c>
    </row>
    <row r="20" spans="1:19" x14ac:dyDescent="0.3">
      <c r="A20" s="22"/>
      <c r="B20" s="23"/>
      <c r="C20" s="23"/>
      <c r="D20" s="27"/>
      <c r="E20" s="14">
        <v>8499</v>
      </c>
      <c r="F20" s="15">
        <v>0.38829999999999998</v>
      </c>
      <c r="G20" s="11">
        <f t="shared" si="0"/>
        <v>5199</v>
      </c>
      <c r="H20" s="14" t="s">
        <v>84</v>
      </c>
      <c r="I20" s="15">
        <v>0</v>
      </c>
      <c r="J20" s="11">
        <f t="shared" si="1"/>
        <v>5199</v>
      </c>
      <c r="K20" s="14">
        <f t="shared" si="2"/>
        <v>4405.8999999999996</v>
      </c>
      <c r="L20" s="14">
        <f t="shared" si="3"/>
        <v>793.0619999999999</v>
      </c>
      <c r="M20" s="14" t="s">
        <v>82</v>
      </c>
      <c r="N20" s="14">
        <f t="shared" si="4"/>
        <v>499</v>
      </c>
      <c r="O20" s="15">
        <v>0.66700000000000004</v>
      </c>
      <c r="P20" s="14">
        <v>1499</v>
      </c>
      <c r="Q20" s="14">
        <f t="shared" si="5"/>
        <v>122.69640000000001</v>
      </c>
      <c r="R20" s="14">
        <f t="shared" si="6"/>
        <v>103.98</v>
      </c>
      <c r="S20" s="14">
        <f t="shared" si="7"/>
        <v>18.7164</v>
      </c>
    </row>
    <row r="21" spans="1:19" x14ac:dyDescent="0.3">
      <c r="A21" s="22"/>
      <c r="B21" s="23"/>
      <c r="C21" s="23"/>
      <c r="D21" s="25" t="s">
        <v>90</v>
      </c>
      <c r="E21" s="14">
        <v>8499</v>
      </c>
      <c r="F21" s="15">
        <v>0.38829999999999998</v>
      </c>
      <c r="G21" s="11">
        <f t="shared" si="0"/>
        <v>5199</v>
      </c>
      <c r="H21" s="14" t="s">
        <v>81</v>
      </c>
      <c r="I21" s="15">
        <v>0.1</v>
      </c>
      <c r="J21" s="11">
        <f t="shared" si="1"/>
        <v>4679.1000000000004</v>
      </c>
      <c r="K21" s="14">
        <f t="shared" si="2"/>
        <v>3965.3</v>
      </c>
      <c r="L21" s="14">
        <f t="shared" si="3"/>
        <v>713.75400000000002</v>
      </c>
      <c r="M21" s="14" t="s">
        <v>82</v>
      </c>
      <c r="N21" s="14">
        <f t="shared" si="4"/>
        <v>499</v>
      </c>
      <c r="O21" s="15">
        <v>0.66700000000000004</v>
      </c>
      <c r="P21" s="14">
        <v>1499</v>
      </c>
      <c r="Q21" s="14">
        <f t="shared" si="5"/>
        <v>110.42676</v>
      </c>
      <c r="R21" s="14">
        <f t="shared" si="6"/>
        <v>93.582000000000008</v>
      </c>
      <c r="S21" s="14">
        <f t="shared" si="7"/>
        <v>16.844760000000001</v>
      </c>
    </row>
    <row r="22" spans="1:19" x14ac:dyDescent="0.3">
      <c r="A22" s="22"/>
      <c r="B22" s="23"/>
      <c r="C22" s="23"/>
      <c r="D22" s="26"/>
      <c r="E22" s="14">
        <v>8499</v>
      </c>
      <c r="F22" s="15">
        <v>0.38829999999999998</v>
      </c>
      <c r="G22" s="11">
        <f t="shared" si="0"/>
        <v>5199</v>
      </c>
      <c r="H22" s="14" t="s">
        <v>83</v>
      </c>
      <c r="I22" s="15">
        <v>0.05</v>
      </c>
      <c r="J22" s="11">
        <f t="shared" si="1"/>
        <v>4939.1000000000004</v>
      </c>
      <c r="K22" s="14">
        <f t="shared" si="2"/>
        <v>4185.7</v>
      </c>
      <c r="L22" s="14">
        <f t="shared" si="3"/>
        <v>753.42599999999993</v>
      </c>
      <c r="M22" s="14" t="s">
        <v>82</v>
      </c>
      <c r="N22" s="14">
        <f t="shared" si="4"/>
        <v>499</v>
      </c>
      <c r="O22" s="15">
        <v>0.66700000000000004</v>
      </c>
      <c r="P22" s="14">
        <v>1499</v>
      </c>
      <c r="Q22" s="14">
        <f t="shared" si="5"/>
        <v>116.56276000000001</v>
      </c>
      <c r="R22" s="14">
        <f t="shared" si="6"/>
        <v>98.782000000000011</v>
      </c>
      <c r="S22" s="14">
        <f t="shared" si="7"/>
        <v>17.780760000000001</v>
      </c>
    </row>
    <row r="23" spans="1:19" x14ac:dyDescent="0.3">
      <c r="A23" s="22"/>
      <c r="B23" s="23"/>
      <c r="C23" s="23"/>
      <c r="D23" s="27"/>
      <c r="E23" s="14">
        <v>8499</v>
      </c>
      <c r="F23" s="15">
        <v>0.38829999999999998</v>
      </c>
      <c r="G23" s="11">
        <f t="shared" si="0"/>
        <v>5199</v>
      </c>
      <c r="H23" s="14" t="s">
        <v>84</v>
      </c>
      <c r="I23" s="15">
        <v>0</v>
      </c>
      <c r="J23" s="11">
        <f t="shared" si="1"/>
        <v>5199</v>
      </c>
      <c r="K23" s="14">
        <f t="shared" si="2"/>
        <v>4405.8999999999996</v>
      </c>
      <c r="L23" s="14">
        <f t="shared" si="3"/>
        <v>793.0619999999999</v>
      </c>
      <c r="M23" s="14" t="s">
        <v>82</v>
      </c>
      <c r="N23" s="14">
        <f t="shared" si="4"/>
        <v>499</v>
      </c>
      <c r="O23" s="15">
        <v>0.66700000000000004</v>
      </c>
      <c r="P23" s="14">
        <v>1499</v>
      </c>
      <c r="Q23" s="14">
        <f t="shared" si="5"/>
        <v>122.69640000000001</v>
      </c>
      <c r="R23" s="14">
        <f t="shared" si="6"/>
        <v>103.98</v>
      </c>
      <c r="S23" s="14">
        <f t="shared" si="7"/>
        <v>18.7164</v>
      </c>
    </row>
    <row r="24" spans="1:19" x14ac:dyDescent="0.3">
      <c r="A24" s="22">
        <v>3</v>
      </c>
      <c r="B24" s="23" t="s">
        <v>49</v>
      </c>
      <c r="C24" s="23" t="s">
        <v>91</v>
      </c>
      <c r="D24" s="24" t="s">
        <v>92</v>
      </c>
      <c r="E24" s="14">
        <v>8999</v>
      </c>
      <c r="F24" s="15">
        <v>0.35560000000000003</v>
      </c>
      <c r="G24" s="11">
        <f t="shared" si="0"/>
        <v>5799</v>
      </c>
      <c r="H24" s="14" t="s">
        <v>81</v>
      </c>
      <c r="I24" s="15">
        <v>0.1</v>
      </c>
      <c r="J24" s="11">
        <f t="shared" si="1"/>
        <v>5219.1000000000004</v>
      </c>
      <c r="K24" s="14">
        <f t="shared" si="2"/>
        <v>4423</v>
      </c>
      <c r="L24" s="14">
        <f t="shared" si="3"/>
        <v>796.14</v>
      </c>
      <c r="M24" s="14" t="s">
        <v>93</v>
      </c>
      <c r="N24" s="14"/>
      <c r="O24" s="15"/>
      <c r="P24" s="14"/>
      <c r="Q24" s="14">
        <f t="shared" si="5"/>
        <v>123.17076</v>
      </c>
      <c r="R24" s="14">
        <f t="shared" si="6"/>
        <v>104.38200000000001</v>
      </c>
      <c r="S24" s="14">
        <f t="shared" si="7"/>
        <v>18.78876</v>
      </c>
    </row>
    <row r="25" spans="1:19" x14ac:dyDescent="0.3">
      <c r="A25" s="22"/>
      <c r="B25" s="23"/>
      <c r="C25" s="23"/>
      <c r="D25" s="24"/>
      <c r="E25" s="14">
        <v>8999</v>
      </c>
      <c r="F25" s="15">
        <v>0.35560000000000003</v>
      </c>
      <c r="G25" s="11">
        <f t="shared" si="0"/>
        <v>5799</v>
      </c>
      <c r="H25" s="14" t="s">
        <v>83</v>
      </c>
      <c r="I25" s="15">
        <v>0.05</v>
      </c>
      <c r="J25" s="11">
        <f t="shared" si="1"/>
        <v>5509.1</v>
      </c>
      <c r="K25" s="14">
        <f t="shared" si="2"/>
        <v>4668.7</v>
      </c>
      <c r="L25" s="14">
        <f t="shared" si="3"/>
        <v>840.36599999999999</v>
      </c>
      <c r="M25" s="14" t="s">
        <v>93</v>
      </c>
      <c r="N25" s="14"/>
      <c r="O25" s="15"/>
      <c r="P25" s="14"/>
      <c r="Q25" s="14">
        <f t="shared" si="5"/>
        <v>130.01476000000002</v>
      </c>
      <c r="R25" s="14">
        <f t="shared" si="6"/>
        <v>110.18200000000002</v>
      </c>
      <c r="S25" s="14">
        <f t="shared" si="7"/>
        <v>19.832760000000004</v>
      </c>
    </row>
    <row r="26" spans="1:19" x14ac:dyDescent="0.3">
      <c r="A26" s="22"/>
      <c r="B26" s="23"/>
      <c r="C26" s="23"/>
      <c r="D26" s="24"/>
      <c r="E26" s="14">
        <v>8999</v>
      </c>
      <c r="F26" s="15">
        <v>0.35560000000000003</v>
      </c>
      <c r="G26" s="11">
        <f t="shared" si="0"/>
        <v>5799</v>
      </c>
      <c r="H26" s="14" t="s">
        <v>84</v>
      </c>
      <c r="I26" s="15">
        <v>0</v>
      </c>
      <c r="J26" s="11">
        <f t="shared" si="1"/>
        <v>5799</v>
      </c>
      <c r="K26" s="14">
        <f t="shared" si="2"/>
        <v>4914.3999999999996</v>
      </c>
      <c r="L26" s="14">
        <f t="shared" si="3"/>
        <v>884.59199999999987</v>
      </c>
      <c r="M26" s="14" t="s">
        <v>93</v>
      </c>
      <c r="N26" s="14"/>
      <c r="O26" s="15"/>
      <c r="P26" s="14"/>
      <c r="Q26" s="14">
        <f t="shared" si="5"/>
        <v>136.85640000000001</v>
      </c>
      <c r="R26" s="14">
        <f t="shared" si="6"/>
        <v>115.98</v>
      </c>
      <c r="S26" s="14">
        <f t="shared" si="7"/>
        <v>20.8764</v>
      </c>
    </row>
    <row r="27" spans="1:19" x14ac:dyDescent="0.3">
      <c r="A27" s="22">
        <v>4</v>
      </c>
      <c r="B27" s="23" t="s">
        <v>41</v>
      </c>
      <c r="C27" s="23" t="s">
        <v>91</v>
      </c>
      <c r="D27" s="24" t="s">
        <v>23</v>
      </c>
      <c r="E27" s="14">
        <v>9499</v>
      </c>
      <c r="F27" s="15">
        <v>0.33689999999999998</v>
      </c>
      <c r="G27" s="11">
        <f t="shared" si="0"/>
        <v>6299</v>
      </c>
      <c r="H27" s="14" t="s">
        <v>81</v>
      </c>
      <c r="I27" s="15">
        <v>0.1</v>
      </c>
      <c r="J27" s="11">
        <f t="shared" si="1"/>
        <v>5669.1</v>
      </c>
      <c r="K27" s="14">
        <f t="shared" si="2"/>
        <v>4804.3</v>
      </c>
      <c r="L27" s="14">
        <f t="shared" si="3"/>
        <v>864.774</v>
      </c>
      <c r="M27" s="14" t="s">
        <v>93</v>
      </c>
      <c r="N27" s="14"/>
      <c r="O27" s="15"/>
      <c r="P27" s="14"/>
      <c r="Q27" s="14">
        <f t="shared" si="5"/>
        <v>133.79076000000001</v>
      </c>
      <c r="R27" s="14">
        <f t="shared" si="6"/>
        <v>113.38200000000001</v>
      </c>
      <c r="S27" s="14">
        <f t="shared" si="7"/>
        <v>20.408760000000001</v>
      </c>
    </row>
    <row r="28" spans="1:19" x14ac:dyDescent="0.3">
      <c r="A28" s="22"/>
      <c r="B28" s="23"/>
      <c r="C28" s="23"/>
      <c r="D28" s="24"/>
      <c r="E28" s="14">
        <v>9499</v>
      </c>
      <c r="F28" s="15">
        <v>0.33689999999999998</v>
      </c>
      <c r="G28" s="11">
        <f t="shared" si="0"/>
        <v>6299</v>
      </c>
      <c r="H28" s="14" t="s">
        <v>83</v>
      </c>
      <c r="I28" s="15">
        <v>0.05</v>
      </c>
      <c r="J28" s="11">
        <f t="shared" si="1"/>
        <v>5984.1</v>
      </c>
      <c r="K28" s="14">
        <f t="shared" si="2"/>
        <v>5071.3</v>
      </c>
      <c r="L28" s="14">
        <f t="shared" si="3"/>
        <v>912.83399999999995</v>
      </c>
      <c r="M28" s="14" t="s">
        <v>93</v>
      </c>
      <c r="N28" s="14"/>
      <c r="O28" s="15"/>
      <c r="P28" s="14"/>
      <c r="Q28" s="14">
        <f t="shared" si="5"/>
        <v>141.22476</v>
      </c>
      <c r="R28" s="14">
        <f t="shared" si="6"/>
        <v>119.68200000000002</v>
      </c>
      <c r="S28" s="14">
        <f t="shared" si="7"/>
        <v>21.542760000000001</v>
      </c>
    </row>
    <row r="29" spans="1:19" x14ac:dyDescent="0.3">
      <c r="A29" s="22"/>
      <c r="B29" s="23"/>
      <c r="C29" s="23"/>
      <c r="D29" s="24"/>
      <c r="E29" s="14">
        <v>9499</v>
      </c>
      <c r="F29" s="15">
        <v>0.33689999999999998</v>
      </c>
      <c r="G29" s="11">
        <f t="shared" si="0"/>
        <v>6299</v>
      </c>
      <c r="H29" s="14" t="s">
        <v>84</v>
      </c>
      <c r="I29" s="15">
        <v>0</v>
      </c>
      <c r="J29" s="11">
        <f t="shared" si="1"/>
        <v>6299</v>
      </c>
      <c r="K29" s="14">
        <f t="shared" si="2"/>
        <v>5338.1</v>
      </c>
      <c r="L29" s="14">
        <f t="shared" si="3"/>
        <v>960.85800000000006</v>
      </c>
      <c r="M29" s="14" t="s">
        <v>93</v>
      </c>
      <c r="N29" s="14"/>
      <c r="O29" s="15"/>
      <c r="P29" s="14"/>
      <c r="Q29" s="14">
        <f t="shared" si="5"/>
        <v>148.65640000000002</v>
      </c>
      <c r="R29" s="14">
        <f t="shared" si="6"/>
        <v>125.98</v>
      </c>
      <c r="S29" s="14">
        <f t="shared" si="7"/>
        <v>22.676400000000001</v>
      </c>
    </row>
    <row r="30" spans="1:19" x14ac:dyDescent="0.3">
      <c r="A30" s="22"/>
      <c r="B30" s="23"/>
      <c r="C30" s="23"/>
      <c r="D30" s="24" t="s">
        <v>26</v>
      </c>
      <c r="E30" s="14">
        <v>9499</v>
      </c>
      <c r="F30" s="15">
        <v>0.33689999999999998</v>
      </c>
      <c r="G30" s="11">
        <f t="shared" si="0"/>
        <v>6299</v>
      </c>
      <c r="H30" s="14" t="s">
        <v>81</v>
      </c>
      <c r="I30" s="15">
        <v>0.1</v>
      </c>
      <c r="J30" s="11">
        <f t="shared" si="1"/>
        <v>5669.1</v>
      </c>
      <c r="K30" s="14">
        <f t="shared" si="2"/>
        <v>4804.3</v>
      </c>
      <c r="L30" s="14">
        <f t="shared" si="3"/>
        <v>864.774</v>
      </c>
      <c r="M30" s="14" t="s">
        <v>93</v>
      </c>
      <c r="N30" s="14"/>
      <c r="O30" s="15"/>
      <c r="P30" s="14"/>
      <c r="Q30" s="14">
        <f t="shared" si="5"/>
        <v>133.79076000000001</v>
      </c>
      <c r="R30" s="14">
        <f t="shared" si="6"/>
        <v>113.38200000000001</v>
      </c>
      <c r="S30" s="14">
        <f t="shared" si="7"/>
        <v>20.408760000000001</v>
      </c>
    </row>
    <row r="31" spans="1:19" x14ac:dyDescent="0.3">
      <c r="A31" s="22"/>
      <c r="B31" s="23"/>
      <c r="C31" s="23"/>
      <c r="D31" s="24"/>
      <c r="E31" s="14">
        <v>9499</v>
      </c>
      <c r="F31" s="15">
        <v>0.33689999999999998</v>
      </c>
      <c r="G31" s="11">
        <f t="shared" si="0"/>
        <v>6299</v>
      </c>
      <c r="H31" s="14" t="s">
        <v>83</v>
      </c>
      <c r="I31" s="15">
        <v>0.05</v>
      </c>
      <c r="J31" s="11">
        <f t="shared" si="1"/>
        <v>5984.1</v>
      </c>
      <c r="K31" s="14">
        <f t="shared" si="2"/>
        <v>5071.3</v>
      </c>
      <c r="L31" s="14">
        <f t="shared" si="3"/>
        <v>912.83399999999995</v>
      </c>
      <c r="M31" s="14" t="s">
        <v>93</v>
      </c>
      <c r="N31" s="14"/>
      <c r="O31" s="15"/>
      <c r="P31" s="14"/>
      <c r="Q31" s="14">
        <f t="shared" si="5"/>
        <v>141.22476</v>
      </c>
      <c r="R31" s="14">
        <f t="shared" si="6"/>
        <v>119.68200000000002</v>
      </c>
      <c r="S31" s="14">
        <f t="shared" si="7"/>
        <v>21.542760000000001</v>
      </c>
    </row>
    <row r="32" spans="1:19" x14ac:dyDescent="0.3">
      <c r="A32" s="22"/>
      <c r="B32" s="23"/>
      <c r="C32" s="23"/>
      <c r="D32" s="24"/>
      <c r="E32" s="14">
        <v>9499</v>
      </c>
      <c r="F32" s="15">
        <v>0.33689999999999998</v>
      </c>
      <c r="G32" s="11">
        <f t="shared" si="0"/>
        <v>6299</v>
      </c>
      <c r="H32" s="14" t="s">
        <v>84</v>
      </c>
      <c r="I32" s="15">
        <v>0</v>
      </c>
      <c r="J32" s="11">
        <f t="shared" si="1"/>
        <v>6299</v>
      </c>
      <c r="K32" s="14">
        <f t="shared" si="2"/>
        <v>5338.1</v>
      </c>
      <c r="L32" s="14">
        <f t="shared" si="3"/>
        <v>960.85800000000006</v>
      </c>
      <c r="M32" s="14" t="s">
        <v>93</v>
      </c>
      <c r="N32" s="14"/>
      <c r="O32" s="15"/>
      <c r="P32" s="14"/>
      <c r="Q32" s="14">
        <f t="shared" si="5"/>
        <v>148.65640000000002</v>
      </c>
      <c r="R32" s="14">
        <f t="shared" si="6"/>
        <v>125.98</v>
      </c>
      <c r="S32" s="14">
        <f t="shared" si="7"/>
        <v>22.676400000000001</v>
      </c>
    </row>
    <row r="33" spans="1:19" x14ac:dyDescent="0.3">
      <c r="A33" s="22"/>
      <c r="B33" s="23"/>
      <c r="C33" s="23"/>
      <c r="D33" s="24" t="s">
        <v>89</v>
      </c>
      <c r="E33" s="14">
        <v>9499</v>
      </c>
      <c r="F33" s="15">
        <v>0.33689999999999998</v>
      </c>
      <c r="G33" s="11">
        <f t="shared" si="0"/>
        <v>6299</v>
      </c>
      <c r="H33" s="14" t="s">
        <v>81</v>
      </c>
      <c r="I33" s="15">
        <v>0.1</v>
      </c>
      <c r="J33" s="11">
        <f t="shared" si="1"/>
        <v>5669.1</v>
      </c>
      <c r="K33" s="14">
        <f t="shared" si="2"/>
        <v>4804.3</v>
      </c>
      <c r="L33" s="14">
        <f t="shared" si="3"/>
        <v>864.774</v>
      </c>
      <c r="M33" s="14" t="s">
        <v>93</v>
      </c>
      <c r="N33" s="14"/>
      <c r="O33" s="15"/>
      <c r="P33" s="14"/>
      <c r="Q33" s="14">
        <f t="shared" si="5"/>
        <v>133.79076000000001</v>
      </c>
      <c r="R33" s="14">
        <f t="shared" si="6"/>
        <v>113.38200000000001</v>
      </c>
      <c r="S33" s="14">
        <f t="shared" si="7"/>
        <v>20.408760000000001</v>
      </c>
    </row>
    <row r="34" spans="1:19" x14ac:dyDescent="0.3">
      <c r="A34" s="22"/>
      <c r="B34" s="23"/>
      <c r="C34" s="23"/>
      <c r="D34" s="24"/>
      <c r="E34" s="14">
        <v>9499</v>
      </c>
      <c r="F34" s="15">
        <v>0.33689999999999998</v>
      </c>
      <c r="G34" s="11">
        <f t="shared" si="0"/>
        <v>6299</v>
      </c>
      <c r="H34" s="14" t="s">
        <v>83</v>
      </c>
      <c r="I34" s="15">
        <v>0.05</v>
      </c>
      <c r="J34" s="11">
        <f t="shared" si="1"/>
        <v>5984.1</v>
      </c>
      <c r="K34" s="14">
        <f t="shared" si="2"/>
        <v>5071.3</v>
      </c>
      <c r="L34" s="14">
        <f t="shared" si="3"/>
        <v>912.83399999999995</v>
      </c>
      <c r="M34" s="14" t="s">
        <v>93</v>
      </c>
      <c r="N34" s="14"/>
      <c r="O34" s="15"/>
      <c r="P34" s="14"/>
      <c r="Q34" s="14">
        <f t="shared" si="5"/>
        <v>141.22476</v>
      </c>
      <c r="R34" s="14">
        <f t="shared" si="6"/>
        <v>119.68200000000002</v>
      </c>
      <c r="S34" s="14">
        <f t="shared" si="7"/>
        <v>21.542760000000001</v>
      </c>
    </row>
    <row r="35" spans="1:19" x14ac:dyDescent="0.3">
      <c r="A35" s="22"/>
      <c r="B35" s="23"/>
      <c r="C35" s="23"/>
      <c r="D35" s="24"/>
      <c r="E35" s="14">
        <v>9499</v>
      </c>
      <c r="F35" s="15">
        <v>0.33689999999999998</v>
      </c>
      <c r="G35" s="11">
        <f t="shared" si="0"/>
        <v>6299</v>
      </c>
      <c r="H35" s="14" t="s">
        <v>84</v>
      </c>
      <c r="I35" s="15">
        <v>0</v>
      </c>
      <c r="J35" s="11">
        <f t="shared" si="1"/>
        <v>6299</v>
      </c>
      <c r="K35" s="14">
        <f t="shared" si="2"/>
        <v>5338.1</v>
      </c>
      <c r="L35" s="14">
        <f t="shared" si="3"/>
        <v>960.85800000000006</v>
      </c>
      <c r="M35" s="14" t="s">
        <v>93</v>
      </c>
      <c r="N35" s="14"/>
      <c r="O35" s="15"/>
      <c r="P35" s="14"/>
      <c r="Q35" s="14">
        <f t="shared" si="5"/>
        <v>148.65640000000002</v>
      </c>
      <c r="R35" s="14">
        <f t="shared" si="6"/>
        <v>125.98</v>
      </c>
      <c r="S35" s="14">
        <f t="shared" si="7"/>
        <v>22.676400000000001</v>
      </c>
    </row>
    <row r="36" spans="1:19" x14ac:dyDescent="0.3">
      <c r="A36" s="22"/>
      <c r="B36" s="23"/>
      <c r="C36" s="23"/>
      <c r="D36" s="24" t="s">
        <v>90</v>
      </c>
      <c r="E36" s="14">
        <v>9499</v>
      </c>
      <c r="F36" s="15">
        <v>0.33689999999999998</v>
      </c>
      <c r="G36" s="11">
        <f t="shared" si="0"/>
        <v>6299</v>
      </c>
      <c r="H36" s="14" t="s">
        <v>81</v>
      </c>
      <c r="I36" s="15">
        <v>0.1</v>
      </c>
      <c r="J36" s="11">
        <f t="shared" si="1"/>
        <v>5669.1</v>
      </c>
      <c r="K36" s="14">
        <f t="shared" si="2"/>
        <v>4804.3</v>
      </c>
      <c r="L36" s="14">
        <f t="shared" si="3"/>
        <v>864.774</v>
      </c>
      <c r="M36" s="14" t="s">
        <v>93</v>
      </c>
      <c r="N36" s="14"/>
      <c r="O36" s="15"/>
      <c r="P36" s="14"/>
      <c r="Q36" s="14">
        <f t="shared" si="5"/>
        <v>133.79076000000001</v>
      </c>
      <c r="R36" s="14">
        <f t="shared" si="6"/>
        <v>113.38200000000001</v>
      </c>
      <c r="S36" s="14">
        <f t="shared" si="7"/>
        <v>20.408760000000001</v>
      </c>
    </row>
    <row r="37" spans="1:19" x14ac:dyDescent="0.3">
      <c r="A37" s="22"/>
      <c r="B37" s="23"/>
      <c r="C37" s="23"/>
      <c r="D37" s="24"/>
      <c r="E37" s="14">
        <v>9499</v>
      </c>
      <c r="F37" s="15">
        <v>0.33689999999999998</v>
      </c>
      <c r="G37" s="11">
        <f t="shared" si="0"/>
        <v>6299</v>
      </c>
      <c r="H37" s="14" t="s">
        <v>83</v>
      </c>
      <c r="I37" s="15">
        <v>0.05</v>
      </c>
      <c r="J37" s="11">
        <f t="shared" si="1"/>
        <v>5984.1</v>
      </c>
      <c r="K37" s="14">
        <f t="shared" si="2"/>
        <v>5071.3</v>
      </c>
      <c r="L37" s="14">
        <f t="shared" si="3"/>
        <v>912.83399999999995</v>
      </c>
      <c r="M37" s="14" t="s">
        <v>93</v>
      </c>
      <c r="N37" s="14"/>
      <c r="O37" s="15"/>
      <c r="P37" s="14"/>
      <c r="Q37" s="14">
        <f t="shared" si="5"/>
        <v>141.22476</v>
      </c>
      <c r="R37" s="14">
        <f t="shared" si="6"/>
        <v>119.68200000000002</v>
      </c>
      <c r="S37" s="14">
        <f t="shared" si="7"/>
        <v>21.542760000000001</v>
      </c>
    </row>
    <row r="38" spans="1:19" x14ac:dyDescent="0.3">
      <c r="A38" s="22"/>
      <c r="B38" s="23"/>
      <c r="C38" s="23"/>
      <c r="D38" s="24"/>
      <c r="E38" s="14">
        <v>9499</v>
      </c>
      <c r="F38" s="15">
        <v>0.33689999999999998</v>
      </c>
      <c r="G38" s="11">
        <f t="shared" si="0"/>
        <v>6299</v>
      </c>
      <c r="H38" s="14" t="s">
        <v>84</v>
      </c>
      <c r="I38" s="15">
        <v>0</v>
      </c>
      <c r="J38" s="11">
        <f t="shared" si="1"/>
        <v>6299</v>
      </c>
      <c r="K38" s="14">
        <f t="shared" si="2"/>
        <v>5338.1</v>
      </c>
      <c r="L38" s="14">
        <f t="shared" si="3"/>
        <v>960.85800000000006</v>
      </c>
      <c r="M38" s="14" t="s">
        <v>93</v>
      </c>
      <c r="N38" s="14"/>
      <c r="O38" s="15"/>
      <c r="P38" s="14"/>
      <c r="Q38" s="14">
        <f t="shared" si="5"/>
        <v>148.65640000000002</v>
      </c>
      <c r="R38" s="14">
        <f t="shared" si="6"/>
        <v>125.98</v>
      </c>
      <c r="S38" s="14">
        <f t="shared" si="7"/>
        <v>22.676400000000001</v>
      </c>
    </row>
    <row r="39" spans="1:19" x14ac:dyDescent="0.3">
      <c r="A39" s="22" t="s">
        <v>94</v>
      </c>
      <c r="B39" s="23" t="s">
        <v>22</v>
      </c>
      <c r="C39" s="23" t="s">
        <v>91</v>
      </c>
      <c r="D39" s="24" t="s">
        <v>23</v>
      </c>
      <c r="E39" s="14">
        <v>9999</v>
      </c>
      <c r="F39" s="15">
        <v>0.33</v>
      </c>
      <c r="G39" s="11">
        <f t="shared" si="0"/>
        <v>6699</v>
      </c>
      <c r="H39" s="14" t="s">
        <v>81</v>
      </c>
      <c r="I39" s="15">
        <v>0.1</v>
      </c>
      <c r="J39" s="11">
        <f t="shared" si="1"/>
        <v>6029.1</v>
      </c>
      <c r="K39" s="14">
        <f t="shared" si="2"/>
        <v>5109.3999999999996</v>
      </c>
      <c r="L39" s="14">
        <f t="shared" si="3"/>
        <v>919.69199999999989</v>
      </c>
      <c r="M39" s="14" t="s">
        <v>93</v>
      </c>
      <c r="N39" s="14"/>
      <c r="O39" s="15"/>
      <c r="P39" s="14"/>
      <c r="Q39" s="14">
        <f t="shared" si="5"/>
        <v>142.28676000000002</v>
      </c>
      <c r="R39" s="14">
        <f t="shared" si="6"/>
        <v>120.58200000000001</v>
      </c>
      <c r="S39" s="14">
        <f t="shared" si="7"/>
        <v>21.70476</v>
      </c>
    </row>
    <row r="40" spans="1:19" x14ac:dyDescent="0.3">
      <c r="A40" s="22"/>
      <c r="B40" s="23"/>
      <c r="C40" s="23"/>
      <c r="D40" s="24"/>
      <c r="E40" s="14">
        <v>9999</v>
      </c>
      <c r="F40" s="15">
        <v>0.33</v>
      </c>
      <c r="G40" s="11">
        <f t="shared" si="0"/>
        <v>6699</v>
      </c>
      <c r="H40" s="14" t="s">
        <v>83</v>
      </c>
      <c r="I40" s="15">
        <v>0.05</v>
      </c>
      <c r="J40" s="11">
        <f t="shared" si="1"/>
        <v>6364.1</v>
      </c>
      <c r="K40" s="14">
        <f t="shared" si="2"/>
        <v>5393.3</v>
      </c>
      <c r="L40" s="14">
        <f t="shared" si="3"/>
        <v>970.79399999999998</v>
      </c>
      <c r="M40" s="14" t="s">
        <v>93</v>
      </c>
      <c r="N40" s="14"/>
      <c r="O40" s="15"/>
      <c r="P40" s="14"/>
      <c r="Q40" s="14">
        <f t="shared" si="5"/>
        <v>150.19276000000002</v>
      </c>
      <c r="R40" s="14">
        <f t="shared" si="6"/>
        <v>127.28200000000001</v>
      </c>
      <c r="S40" s="14">
        <f t="shared" si="7"/>
        <v>22.91076</v>
      </c>
    </row>
    <row r="41" spans="1:19" x14ac:dyDescent="0.3">
      <c r="A41" s="22"/>
      <c r="B41" s="23"/>
      <c r="C41" s="23"/>
      <c r="D41" s="24"/>
      <c r="E41" s="14">
        <v>9999</v>
      </c>
      <c r="F41" s="15">
        <v>0.33</v>
      </c>
      <c r="G41" s="11">
        <f t="shared" si="0"/>
        <v>6699</v>
      </c>
      <c r="H41" s="14" t="s">
        <v>84</v>
      </c>
      <c r="I41" s="15">
        <v>0</v>
      </c>
      <c r="J41" s="11">
        <f t="shared" si="1"/>
        <v>6699</v>
      </c>
      <c r="K41" s="14">
        <f t="shared" si="2"/>
        <v>5677.1</v>
      </c>
      <c r="L41" s="14">
        <f t="shared" si="3"/>
        <v>1021.878</v>
      </c>
      <c r="M41" s="14" t="s">
        <v>93</v>
      </c>
      <c r="N41" s="14"/>
      <c r="O41" s="15"/>
      <c r="P41" s="14"/>
      <c r="Q41" s="14">
        <f t="shared" si="5"/>
        <v>158.09639999999999</v>
      </c>
      <c r="R41" s="14">
        <f t="shared" si="6"/>
        <v>133.97999999999999</v>
      </c>
      <c r="S41" s="14">
        <f t="shared" si="7"/>
        <v>24.116399999999999</v>
      </c>
    </row>
    <row r="42" spans="1:19" x14ac:dyDescent="0.3">
      <c r="A42" s="22"/>
      <c r="B42" s="23"/>
      <c r="C42" s="23"/>
      <c r="D42" s="24" t="s">
        <v>26</v>
      </c>
      <c r="E42" s="14">
        <v>9999</v>
      </c>
      <c r="F42" s="15">
        <v>0.33</v>
      </c>
      <c r="G42" s="11">
        <f t="shared" si="0"/>
        <v>6699</v>
      </c>
      <c r="H42" s="14" t="s">
        <v>81</v>
      </c>
      <c r="I42" s="15">
        <v>0.1</v>
      </c>
      <c r="J42" s="11">
        <f t="shared" si="1"/>
        <v>6029.1</v>
      </c>
      <c r="K42" s="14">
        <f t="shared" si="2"/>
        <v>5109.3999999999996</v>
      </c>
      <c r="L42" s="14">
        <f t="shared" si="3"/>
        <v>919.69199999999989</v>
      </c>
      <c r="M42" s="14" t="s">
        <v>93</v>
      </c>
      <c r="N42" s="14"/>
      <c r="O42" s="15"/>
      <c r="P42" s="14"/>
      <c r="Q42" s="14">
        <f t="shared" si="5"/>
        <v>142.28676000000002</v>
      </c>
      <c r="R42" s="14">
        <f t="shared" si="6"/>
        <v>120.58200000000001</v>
      </c>
      <c r="S42" s="14">
        <f t="shared" si="7"/>
        <v>21.70476</v>
      </c>
    </row>
    <row r="43" spans="1:19" x14ac:dyDescent="0.3">
      <c r="A43" s="22"/>
      <c r="B43" s="23"/>
      <c r="C43" s="23"/>
      <c r="D43" s="24"/>
      <c r="E43" s="14">
        <v>9999</v>
      </c>
      <c r="F43" s="15">
        <v>0.33</v>
      </c>
      <c r="G43" s="11">
        <f t="shared" si="0"/>
        <v>6699</v>
      </c>
      <c r="H43" s="14" t="s">
        <v>83</v>
      </c>
      <c r="I43" s="15">
        <v>0.05</v>
      </c>
      <c r="J43" s="11">
        <f t="shared" si="1"/>
        <v>6364.1</v>
      </c>
      <c r="K43" s="14">
        <f t="shared" si="2"/>
        <v>5393.3</v>
      </c>
      <c r="L43" s="14">
        <f t="shared" si="3"/>
        <v>970.79399999999998</v>
      </c>
      <c r="M43" s="14" t="s">
        <v>93</v>
      </c>
      <c r="N43" s="14"/>
      <c r="O43" s="15"/>
      <c r="P43" s="14"/>
      <c r="Q43" s="14">
        <f t="shared" si="5"/>
        <v>150.19276000000002</v>
      </c>
      <c r="R43" s="14">
        <f t="shared" si="6"/>
        <v>127.28200000000001</v>
      </c>
      <c r="S43" s="14">
        <f t="shared" si="7"/>
        <v>22.91076</v>
      </c>
    </row>
    <row r="44" spans="1:19" x14ac:dyDescent="0.3">
      <c r="A44" s="22"/>
      <c r="B44" s="23"/>
      <c r="C44" s="23"/>
      <c r="D44" s="24"/>
      <c r="E44" s="14">
        <v>9999</v>
      </c>
      <c r="F44" s="15">
        <v>0.33</v>
      </c>
      <c r="G44" s="11">
        <f t="shared" si="0"/>
        <v>6699</v>
      </c>
      <c r="H44" s="14" t="s">
        <v>84</v>
      </c>
      <c r="I44" s="15">
        <v>0</v>
      </c>
      <c r="J44" s="11">
        <f t="shared" si="1"/>
        <v>6699</v>
      </c>
      <c r="K44" s="14">
        <f t="shared" si="2"/>
        <v>5677.1</v>
      </c>
      <c r="L44" s="14">
        <f t="shared" si="3"/>
        <v>1021.878</v>
      </c>
      <c r="M44" s="14" t="s">
        <v>93</v>
      </c>
      <c r="N44" s="14"/>
      <c r="O44" s="15"/>
      <c r="P44" s="14"/>
      <c r="Q44" s="14">
        <f t="shared" si="5"/>
        <v>158.09639999999999</v>
      </c>
      <c r="R44" s="14">
        <f t="shared" si="6"/>
        <v>133.97999999999999</v>
      </c>
      <c r="S44" s="14">
        <f t="shared" si="7"/>
        <v>24.116399999999999</v>
      </c>
    </row>
    <row r="45" spans="1:19" x14ac:dyDescent="0.3">
      <c r="A45" s="22"/>
      <c r="B45" s="23"/>
      <c r="C45" s="23"/>
      <c r="D45" s="24" t="s">
        <v>89</v>
      </c>
      <c r="E45" s="14">
        <v>9999</v>
      </c>
      <c r="F45" s="15">
        <v>0.33</v>
      </c>
      <c r="G45" s="11">
        <f t="shared" si="0"/>
        <v>6699</v>
      </c>
      <c r="H45" s="14" t="s">
        <v>81</v>
      </c>
      <c r="I45" s="15">
        <v>0.1</v>
      </c>
      <c r="J45" s="11">
        <f t="shared" si="1"/>
        <v>6029.1</v>
      </c>
      <c r="K45" s="14">
        <f t="shared" si="2"/>
        <v>5109.3999999999996</v>
      </c>
      <c r="L45" s="14">
        <f t="shared" si="3"/>
        <v>919.69199999999989</v>
      </c>
      <c r="M45" s="14" t="s">
        <v>93</v>
      </c>
      <c r="N45" s="14"/>
      <c r="O45" s="15"/>
      <c r="P45" s="14"/>
      <c r="Q45" s="14">
        <f t="shared" si="5"/>
        <v>142.28676000000002</v>
      </c>
      <c r="R45" s="14">
        <f t="shared" si="6"/>
        <v>120.58200000000001</v>
      </c>
      <c r="S45" s="14">
        <f t="shared" si="7"/>
        <v>21.70476</v>
      </c>
    </row>
    <row r="46" spans="1:19" x14ac:dyDescent="0.3">
      <c r="A46" s="22"/>
      <c r="B46" s="23"/>
      <c r="C46" s="23"/>
      <c r="D46" s="24"/>
      <c r="E46" s="14">
        <v>9999</v>
      </c>
      <c r="F46" s="15">
        <v>0.33</v>
      </c>
      <c r="G46" s="11">
        <f t="shared" si="0"/>
        <v>6699</v>
      </c>
      <c r="H46" s="14" t="s">
        <v>83</v>
      </c>
      <c r="I46" s="15">
        <v>0.05</v>
      </c>
      <c r="J46" s="11">
        <f t="shared" si="1"/>
        <v>6364.1</v>
      </c>
      <c r="K46" s="14">
        <f t="shared" si="2"/>
        <v>5393.3</v>
      </c>
      <c r="L46" s="14">
        <f t="shared" si="3"/>
        <v>970.79399999999998</v>
      </c>
      <c r="M46" s="14" t="s">
        <v>93</v>
      </c>
      <c r="N46" s="14"/>
      <c r="O46" s="15"/>
      <c r="P46" s="14"/>
      <c r="Q46" s="14">
        <f t="shared" si="5"/>
        <v>150.19276000000002</v>
      </c>
      <c r="R46" s="14">
        <f t="shared" si="6"/>
        <v>127.28200000000001</v>
      </c>
      <c r="S46" s="14">
        <f t="shared" si="7"/>
        <v>22.91076</v>
      </c>
    </row>
    <row r="47" spans="1:19" x14ac:dyDescent="0.3">
      <c r="A47" s="22"/>
      <c r="B47" s="23"/>
      <c r="C47" s="23"/>
      <c r="D47" s="24"/>
      <c r="E47" s="14">
        <v>9999</v>
      </c>
      <c r="F47" s="15">
        <v>0.33</v>
      </c>
      <c r="G47" s="11">
        <f t="shared" si="0"/>
        <v>6699</v>
      </c>
      <c r="H47" s="14" t="s">
        <v>84</v>
      </c>
      <c r="I47" s="15">
        <v>0</v>
      </c>
      <c r="J47" s="11">
        <f t="shared" si="1"/>
        <v>6699</v>
      </c>
      <c r="K47" s="14">
        <f t="shared" si="2"/>
        <v>5677.1</v>
      </c>
      <c r="L47" s="14">
        <f t="shared" si="3"/>
        <v>1021.878</v>
      </c>
      <c r="M47" s="14" t="s">
        <v>93</v>
      </c>
      <c r="N47" s="14"/>
      <c r="O47" s="15"/>
      <c r="P47" s="14"/>
      <c r="Q47" s="14">
        <f t="shared" si="5"/>
        <v>158.09639999999999</v>
      </c>
      <c r="R47" s="14">
        <f t="shared" si="6"/>
        <v>133.97999999999999</v>
      </c>
      <c r="S47" s="14">
        <f t="shared" si="7"/>
        <v>24.116399999999999</v>
      </c>
    </row>
    <row r="48" spans="1:19" x14ac:dyDescent="0.3">
      <c r="A48" s="22"/>
      <c r="B48" s="23"/>
      <c r="C48" s="23"/>
      <c r="D48" s="24" t="s">
        <v>29</v>
      </c>
      <c r="E48" s="14">
        <v>9999</v>
      </c>
      <c r="F48" s="15">
        <v>0.33</v>
      </c>
      <c r="G48" s="11">
        <f t="shared" si="0"/>
        <v>6699</v>
      </c>
      <c r="H48" s="14" t="s">
        <v>81</v>
      </c>
      <c r="I48" s="15">
        <v>0.1</v>
      </c>
      <c r="J48" s="11">
        <f t="shared" si="1"/>
        <v>6029.1</v>
      </c>
      <c r="K48" s="14">
        <f t="shared" si="2"/>
        <v>5109.3999999999996</v>
      </c>
      <c r="L48" s="14">
        <f t="shared" si="3"/>
        <v>919.69199999999989</v>
      </c>
      <c r="M48" s="14" t="s">
        <v>93</v>
      </c>
      <c r="N48" s="14"/>
      <c r="O48" s="15"/>
      <c r="P48" s="14"/>
      <c r="Q48" s="14">
        <f t="shared" si="5"/>
        <v>142.28676000000002</v>
      </c>
      <c r="R48" s="14">
        <f t="shared" si="6"/>
        <v>120.58200000000001</v>
      </c>
      <c r="S48" s="14">
        <f t="shared" si="7"/>
        <v>21.70476</v>
      </c>
    </row>
    <row r="49" spans="1:19" x14ac:dyDescent="0.3">
      <c r="A49" s="22"/>
      <c r="B49" s="23"/>
      <c r="C49" s="23"/>
      <c r="D49" s="24"/>
      <c r="E49" s="14">
        <v>9999</v>
      </c>
      <c r="F49" s="15">
        <v>0.33</v>
      </c>
      <c r="G49" s="11">
        <f t="shared" si="0"/>
        <v>6699</v>
      </c>
      <c r="H49" s="14" t="s">
        <v>83</v>
      </c>
      <c r="I49" s="15">
        <v>0.05</v>
      </c>
      <c r="J49" s="11">
        <f t="shared" si="1"/>
        <v>6364.1</v>
      </c>
      <c r="K49" s="14">
        <f t="shared" si="2"/>
        <v>5393.3</v>
      </c>
      <c r="L49" s="14">
        <f t="shared" si="3"/>
        <v>970.79399999999998</v>
      </c>
      <c r="M49" s="14" t="s">
        <v>93</v>
      </c>
      <c r="N49" s="14"/>
      <c r="O49" s="15"/>
      <c r="P49" s="14"/>
      <c r="Q49" s="14">
        <f t="shared" si="5"/>
        <v>150.19276000000002</v>
      </c>
      <c r="R49" s="14">
        <f t="shared" si="6"/>
        <v>127.28200000000001</v>
      </c>
      <c r="S49" s="14">
        <f t="shared" si="7"/>
        <v>22.91076</v>
      </c>
    </row>
    <row r="50" spans="1:19" x14ac:dyDescent="0.3">
      <c r="A50" s="22"/>
      <c r="B50" s="23"/>
      <c r="C50" s="23"/>
      <c r="D50" s="24"/>
      <c r="E50" s="14">
        <v>9999</v>
      </c>
      <c r="F50" s="15">
        <v>0.33</v>
      </c>
      <c r="G50" s="11">
        <f t="shared" si="0"/>
        <v>6699</v>
      </c>
      <c r="H50" s="14" t="s">
        <v>84</v>
      </c>
      <c r="I50" s="15">
        <v>0</v>
      </c>
      <c r="J50" s="11">
        <f t="shared" si="1"/>
        <v>6699</v>
      </c>
      <c r="K50" s="14">
        <f t="shared" si="2"/>
        <v>5677.1</v>
      </c>
      <c r="L50" s="14">
        <f t="shared" si="3"/>
        <v>1021.878</v>
      </c>
      <c r="M50" s="14" t="s">
        <v>93</v>
      </c>
      <c r="N50" s="14"/>
      <c r="O50" s="15"/>
      <c r="P50" s="14"/>
      <c r="Q50" s="14">
        <f t="shared" si="5"/>
        <v>158.09639999999999</v>
      </c>
      <c r="R50" s="14">
        <f t="shared" si="6"/>
        <v>133.97999999999999</v>
      </c>
      <c r="S50" s="14">
        <f t="shared" si="7"/>
        <v>24.116399999999999</v>
      </c>
    </row>
    <row r="51" spans="1:19" x14ac:dyDescent="0.3">
      <c r="A51" s="22"/>
      <c r="B51" s="23"/>
      <c r="C51" s="23"/>
      <c r="D51" s="24" t="s">
        <v>90</v>
      </c>
      <c r="E51" s="14">
        <v>9999</v>
      </c>
      <c r="F51" s="15">
        <v>0.33</v>
      </c>
      <c r="G51" s="11">
        <f t="shared" si="0"/>
        <v>6699</v>
      </c>
      <c r="H51" s="14" t="s">
        <v>81</v>
      </c>
      <c r="I51" s="15">
        <v>0.1</v>
      </c>
      <c r="J51" s="11">
        <f t="shared" si="1"/>
        <v>6029.1</v>
      </c>
      <c r="K51" s="14">
        <f t="shared" si="2"/>
        <v>5109.3999999999996</v>
      </c>
      <c r="L51" s="14">
        <f t="shared" si="3"/>
        <v>919.69199999999989</v>
      </c>
      <c r="M51" s="14" t="s">
        <v>93</v>
      </c>
      <c r="N51" s="14"/>
      <c r="O51" s="15"/>
      <c r="P51" s="14"/>
      <c r="Q51" s="14">
        <f t="shared" si="5"/>
        <v>142.28676000000002</v>
      </c>
      <c r="R51" s="14">
        <f t="shared" si="6"/>
        <v>120.58200000000001</v>
      </c>
      <c r="S51" s="14">
        <f t="shared" si="7"/>
        <v>21.70476</v>
      </c>
    </row>
    <row r="52" spans="1:19" x14ac:dyDescent="0.3">
      <c r="A52" s="22"/>
      <c r="B52" s="23"/>
      <c r="C52" s="23"/>
      <c r="D52" s="24"/>
      <c r="E52" s="14">
        <v>9999</v>
      </c>
      <c r="F52" s="15">
        <v>0.33</v>
      </c>
      <c r="G52" s="11">
        <f t="shared" si="0"/>
        <v>6699</v>
      </c>
      <c r="H52" s="14" t="s">
        <v>83</v>
      </c>
      <c r="I52" s="15">
        <v>0.05</v>
      </c>
      <c r="J52" s="11">
        <f t="shared" si="1"/>
        <v>6364.1</v>
      </c>
      <c r="K52" s="14">
        <f t="shared" si="2"/>
        <v>5393.3</v>
      </c>
      <c r="L52" s="14">
        <f t="shared" si="3"/>
        <v>970.79399999999998</v>
      </c>
      <c r="M52" s="14" t="s">
        <v>93</v>
      </c>
      <c r="N52" s="14"/>
      <c r="O52" s="15"/>
      <c r="P52" s="14"/>
      <c r="Q52" s="14">
        <f t="shared" si="5"/>
        <v>150.19276000000002</v>
      </c>
      <c r="R52" s="14">
        <f t="shared" si="6"/>
        <v>127.28200000000001</v>
      </c>
      <c r="S52" s="14">
        <f t="shared" si="7"/>
        <v>22.91076</v>
      </c>
    </row>
    <row r="53" spans="1:19" x14ac:dyDescent="0.3">
      <c r="A53" s="22"/>
      <c r="B53" s="23"/>
      <c r="C53" s="23"/>
      <c r="D53" s="24"/>
      <c r="E53" s="14">
        <v>9999</v>
      </c>
      <c r="F53" s="15">
        <v>0.33</v>
      </c>
      <c r="G53" s="11">
        <f t="shared" si="0"/>
        <v>6699</v>
      </c>
      <c r="H53" s="14" t="s">
        <v>84</v>
      </c>
      <c r="I53" s="15">
        <v>0</v>
      </c>
      <c r="J53" s="11">
        <f t="shared" si="1"/>
        <v>6699</v>
      </c>
      <c r="K53" s="14">
        <f t="shared" si="2"/>
        <v>5677.1</v>
      </c>
      <c r="L53" s="14">
        <f t="shared" si="3"/>
        <v>1021.878</v>
      </c>
      <c r="M53" s="14" t="s">
        <v>93</v>
      </c>
      <c r="N53" s="14"/>
      <c r="O53" s="15"/>
      <c r="P53" s="14"/>
      <c r="Q53" s="14">
        <f t="shared" si="5"/>
        <v>158.09639999999999</v>
      </c>
      <c r="R53" s="14">
        <f t="shared" si="6"/>
        <v>133.97999999999999</v>
      </c>
      <c r="S53" s="14">
        <f t="shared" si="7"/>
        <v>24.116399999999999</v>
      </c>
    </row>
    <row r="54" spans="1:19" x14ac:dyDescent="0.3">
      <c r="A54" s="22" t="s">
        <v>95</v>
      </c>
      <c r="B54" s="23" t="s">
        <v>22</v>
      </c>
      <c r="C54" s="23" t="s">
        <v>96</v>
      </c>
      <c r="D54" s="24" t="s">
        <v>26</v>
      </c>
      <c r="E54" s="14">
        <v>9999</v>
      </c>
      <c r="F54" s="15">
        <v>0.3</v>
      </c>
      <c r="G54" s="11">
        <f t="shared" si="0"/>
        <v>6999</v>
      </c>
      <c r="H54" s="14" t="s">
        <v>81</v>
      </c>
      <c r="I54" s="15">
        <v>0.1</v>
      </c>
      <c r="J54" s="11">
        <f t="shared" si="1"/>
        <v>6299.1</v>
      </c>
      <c r="K54" s="14">
        <f t="shared" si="2"/>
        <v>5338.2</v>
      </c>
      <c r="L54" s="14">
        <f t="shared" si="3"/>
        <v>960.87599999999998</v>
      </c>
      <c r="M54" s="14" t="s">
        <v>93</v>
      </c>
      <c r="N54" s="14"/>
      <c r="O54" s="15"/>
      <c r="P54" s="14"/>
      <c r="Q54" s="14">
        <f t="shared" si="5"/>
        <v>148.65876000000003</v>
      </c>
      <c r="R54" s="14">
        <f t="shared" si="6"/>
        <v>125.98200000000001</v>
      </c>
      <c r="S54" s="14">
        <f t="shared" si="7"/>
        <v>22.676760000000002</v>
      </c>
    </row>
    <row r="55" spans="1:19" x14ac:dyDescent="0.3">
      <c r="A55" s="22"/>
      <c r="B55" s="23"/>
      <c r="C55" s="23"/>
      <c r="D55" s="24"/>
      <c r="E55" s="14">
        <v>9999</v>
      </c>
      <c r="F55" s="15">
        <v>0.3</v>
      </c>
      <c r="G55" s="11">
        <f t="shared" si="0"/>
        <v>6999</v>
      </c>
      <c r="H55" s="14" t="s">
        <v>83</v>
      </c>
      <c r="I55" s="15">
        <v>0.05</v>
      </c>
      <c r="J55" s="11">
        <f t="shared" si="1"/>
        <v>6649.1</v>
      </c>
      <c r="K55" s="14">
        <f t="shared" si="2"/>
        <v>5634.8</v>
      </c>
      <c r="L55" s="14">
        <f t="shared" si="3"/>
        <v>1014.264</v>
      </c>
      <c r="M55" s="14" t="s">
        <v>93</v>
      </c>
      <c r="N55" s="14"/>
      <c r="O55" s="15"/>
      <c r="P55" s="14"/>
      <c r="Q55" s="14">
        <f t="shared" si="5"/>
        <v>156.91875999999999</v>
      </c>
      <c r="R55" s="14">
        <f t="shared" si="6"/>
        <v>132.982</v>
      </c>
      <c r="S55" s="14">
        <f t="shared" si="7"/>
        <v>23.93676</v>
      </c>
    </row>
    <row r="56" spans="1:19" x14ac:dyDescent="0.3">
      <c r="A56" s="22"/>
      <c r="B56" s="23"/>
      <c r="C56" s="23"/>
      <c r="D56" s="24"/>
      <c r="E56" s="14">
        <v>9999</v>
      </c>
      <c r="F56" s="15">
        <v>0.3</v>
      </c>
      <c r="G56" s="11">
        <f t="shared" si="0"/>
        <v>6999</v>
      </c>
      <c r="H56" s="14" t="s">
        <v>84</v>
      </c>
      <c r="I56" s="15">
        <v>0</v>
      </c>
      <c r="J56" s="11">
        <f t="shared" si="1"/>
        <v>6999</v>
      </c>
      <c r="K56" s="14">
        <f t="shared" si="2"/>
        <v>5931.4</v>
      </c>
      <c r="L56" s="14">
        <f t="shared" si="3"/>
        <v>1067.6519999999998</v>
      </c>
      <c r="M56" s="14" t="s">
        <v>93</v>
      </c>
      <c r="N56" s="14"/>
      <c r="O56" s="15"/>
      <c r="P56" s="14"/>
      <c r="Q56" s="14">
        <f t="shared" si="5"/>
        <v>165.1764</v>
      </c>
      <c r="R56" s="14">
        <f t="shared" si="6"/>
        <v>139.97999999999999</v>
      </c>
      <c r="S56" s="14">
        <f t="shared" si="7"/>
        <v>25.196399999999997</v>
      </c>
    </row>
    <row r="57" spans="1:19" x14ac:dyDescent="0.3">
      <c r="A57" s="22" t="s">
        <v>97</v>
      </c>
      <c r="B57" s="23" t="s">
        <v>22</v>
      </c>
      <c r="C57" s="23" t="s">
        <v>98</v>
      </c>
      <c r="D57" s="24" t="s">
        <v>23</v>
      </c>
      <c r="E57" s="14">
        <v>9999</v>
      </c>
      <c r="F57" s="15">
        <v>0.3</v>
      </c>
      <c r="G57" s="11">
        <f t="shared" si="0"/>
        <v>6999</v>
      </c>
      <c r="H57" s="14" t="s">
        <v>81</v>
      </c>
      <c r="I57" s="15">
        <v>0.1</v>
      </c>
      <c r="J57" s="11">
        <f t="shared" si="1"/>
        <v>6299.1</v>
      </c>
      <c r="K57" s="14">
        <f t="shared" si="2"/>
        <v>5338.2</v>
      </c>
      <c r="L57" s="14">
        <f t="shared" si="3"/>
        <v>960.87599999999998</v>
      </c>
      <c r="M57" s="14" t="s">
        <v>93</v>
      </c>
      <c r="N57" s="14"/>
      <c r="O57" s="15"/>
      <c r="P57" s="14"/>
      <c r="Q57" s="14">
        <f t="shared" si="5"/>
        <v>148.65876000000003</v>
      </c>
      <c r="R57" s="14">
        <f t="shared" si="6"/>
        <v>125.98200000000001</v>
      </c>
      <c r="S57" s="14">
        <f t="shared" si="7"/>
        <v>22.676760000000002</v>
      </c>
    </row>
    <row r="58" spans="1:19" x14ac:dyDescent="0.3">
      <c r="A58" s="22"/>
      <c r="B58" s="23"/>
      <c r="C58" s="23"/>
      <c r="D58" s="24"/>
      <c r="E58" s="14">
        <v>9999</v>
      </c>
      <c r="F58" s="15">
        <v>0.3</v>
      </c>
      <c r="G58" s="11">
        <f t="shared" si="0"/>
        <v>6999</v>
      </c>
      <c r="H58" s="14" t="s">
        <v>83</v>
      </c>
      <c r="I58" s="15">
        <v>0.05</v>
      </c>
      <c r="J58" s="11">
        <f t="shared" si="1"/>
        <v>6649.1</v>
      </c>
      <c r="K58" s="14">
        <f t="shared" si="2"/>
        <v>5634.8</v>
      </c>
      <c r="L58" s="14">
        <f t="shared" si="3"/>
        <v>1014.264</v>
      </c>
      <c r="M58" s="14" t="s">
        <v>93</v>
      </c>
      <c r="N58" s="14"/>
      <c r="O58" s="15"/>
      <c r="P58" s="14"/>
      <c r="Q58" s="14">
        <f t="shared" si="5"/>
        <v>156.91875999999999</v>
      </c>
      <c r="R58" s="14">
        <f t="shared" si="6"/>
        <v>132.982</v>
      </c>
      <c r="S58" s="14">
        <f t="shared" si="7"/>
        <v>23.93676</v>
      </c>
    </row>
    <row r="59" spans="1:19" x14ac:dyDescent="0.3">
      <c r="A59" s="22"/>
      <c r="B59" s="23"/>
      <c r="C59" s="23"/>
      <c r="D59" s="24"/>
      <c r="E59" s="14">
        <v>9999</v>
      </c>
      <c r="F59" s="15">
        <v>0.3</v>
      </c>
      <c r="G59" s="11">
        <f t="shared" si="0"/>
        <v>6999</v>
      </c>
      <c r="H59" s="14" t="s">
        <v>84</v>
      </c>
      <c r="I59" s="15">
        <v>0</v>
      </c>
      <c r="J59" s="11">
        <f t="shared" si="1"/>
        <v>6999</v>
      </c>
      <c r="K59" s="14">
        <f t="shared" si="2"/>
        <v>5931.4</v>
      </c>
      <c r="L59" s="14">
        <f t="shared" si="3"/>
        <v>1067.6519999999998</v>
      </c>
      <c r="M59" s="14" t="s">
        <v>93</v>
      </c>
      <c r="N59" s="14"/>
      <c r="O59" s="15"/>
      <c r="P59" s="14"/>
      <c r="Q59" s="14">
        <f t="shared" si="5"/>
        <v>165.1764</v>
      </c>
      <c r="R59" s="14">
        <f t="shared" si="6"/>
        <v>139.97999999999999</v>
      </c>
      <c r="S59" s="14">
        <f t="shared" si="7"/>
        <v>25.196399999999997</v>
      </c>
    </row>
  </sheetData>
  <mergeCells count="42">
    <mergeCell ref="D12:D14"/>
    <mergeCell ref="D15:D17"/>
    <mergeCell ref="D18:D20"/>
    <mergeCell ref="D21:D23"/>
    <mergeCell ref="A3:A8"/>
    <mergeCell ref="B3:B8"/>
    <mergeCell ref="C3:C5"/>
    <mergeCell ref="D3:D5"/>
    <mergeCell ref="C6:C8"/>
    <mergeCell ref="D6:D8"/>
    <mergeCell ref="A57:A59"/>
    <mergeCell ref="B57:B59"/>
    <mergeCell ref="C57:C59"/>
    <mergeCell ref="D57:D59"/>
    <mergeCell ref="D36:D38"/>
    <mergeCell ref="A39:A53"/>
    <mergeCell ref="B39:B53"/>
    <mergeCell ref="C39:C53"/>
    <mergeCell ref="D39:D41"/>
    <mergeCell ref="D42:D44"/>
    <mergeCell ref="D45:D47"/>
    <mergeCell ref="D48:D50"/>
    <mergeCell ref="D51:D53"/>
    <mergeCell ref="A27:A38"/>
    <mergeCell ref="B27:B38"/>
    <mergeCell ref="C27:C38"/>
    <mergeCell ref="C1:S1"/>
    <mergeCell ref="A54:A56"/>
    <mergeCell ref="B54:B56"/>
    <mergeCell ref="C54:C56"/>
    <mergeCell ref="D54:D56"/>
    <mergeCell ref="A24:A26"/>
    <mergeCell ref="B24:B26"/>
    <mergeCell ref="C24:C26"/>
    <mergeCell ref="D24:D26"/>
    <mergeCell ref="D27:D29"/>
    <mergeCell ref="D30:D32"/>
    <mergeCell ref="D33:D35"/>
    <mergeCell ref="A9:A23"/>
    <mergeCell ref="B9:B23"/>
    <mergeCell ref="C9:C23"/>
    <mergeCell ref="D9:D1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E1628</dc:creator>
  <cp:lastModifiedBy>S0442889</cp:lastModifiedBy>
  <dcterms:created xsi:type="dcterms:W3CDTF">2026-05-11T05:56:27Z</dcterms:created>
  <dcterms:modified xsi:type="dcterms:W3CDTF">2026-05-12T12:40:13Z</dcterms:modified>
</cp:coreProperties>
</file>